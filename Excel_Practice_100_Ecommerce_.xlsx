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ilab\Documents\"/>
    </mc:Choice>
  </mc:AlternateContent>
  <xr:revisionPtr revIDLastSave="0" documentId="13_ncr:1_{2804DAC6-4BB2-4903-88ED-5FBC1C45304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4" r:id="rId1"/>
    <sheet name="Sheet5" sheetId="8" r:id="rId2"/>
    <sheet name="Sales_Data" sheetId="1" r:id="rId3"/>
  </sheets>
  <externalReferences>
    <externalReference r:id="rId4"/>
    <externalReference r:id="rId5"/>
  </externalReferences>
  <definedNames>
    <definedName name="_xlchart.v5.0" hidden="1">Sheet1!$M$26</definedName>
    <definedName name="_xlchart.v5.1" hidden="1">Sheet1!$M$27:$M$31</definedName>
    <definedName name="_xlchart.v5.2" hidden="1">Sheet1!$N$26</definedName>
    <definedName name="_xlchart.v5.3" hidden="1">Sheet1!$N$27:$N$31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5" i="1" l="1"/>
  <c r="M104" i="1"/>
  <c r="N31" i="4"/>
  <c r="N30" i="4"/>
  <c r="N29" i="4"/>
  <c r="N28" i="4"/>
  <c r="N27" i="4"/>
  <c r="G106" i="1"/>
  <c r="P107" i="1"/>
  <c r="M111" i="1"/>
  <c r="M110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102" i="1"/>
  <c r="G104" i="1"/>
  <c r="N104" i="1"/>
  <c r="P106" i="1"/>
  <c r="P104" i="1"/>
  <c r="M107" i="1"/>
  <c r="K104" i="1"/>
  <c r="H104" i="1"/>
</calcChain>
</file>

<file path=xl/sharedStrings.xml><?xml version="1.0" encoding="utf-8"?>
<sst xmlns="http://schemas.openxmlformats.org/spreadsheetml/2006/main" count="1100" uniqueCount="276">
  <si>
    <t>Order_ID</t>
  </si>
  <si>
    <t>Order_Date</t>
  </si>
  <si>
    <t>Customer_Name</t>
  </si>
  <si>
    <t>City</t>
  </si>
  <si>
    <t>State</t>
  </si>
  <si>
    <t>Product</t>
  </si>
  <si>
    <t>Category</t>
  </si>
  <si>
    <t>Quantity</t>
  </si>
  <si>
    <t>Unit_Price</t>
  </si>
  <si>
    <t>Discount_%</t>
  </si>
  <si>
    <t>Gross_Sales</t>
  </si>
  <si>
    <t>Discount_Amount</t>
  </si>
  <si>
    <t>Net_Sales</t>
  </si>
  <si>
    <t>Sales_Channel</t>
  </si>
  <si>
    <t>Payment_Method</t>
  </si>
  <si>
    <t>Order_Status</t>
  </si>
  <si>
    <t>Salesperson</t>
  </si>
  <si>
    <t>ORD0001</t>
  </si>
  <si>
    <t>Kavya Yadav</t>
  </si>
  <si>
    <t>Lucknow</t>
  </si>
  <si>
    <t>Uttar Pradesh</t>
  </si>
  <si>
    <t>Laptop</t>
  </si>
  <si>
    <t>Electronics</t>
  </si>
  <si>
    <t>Marketplace</t>
  </si>
  <si>
    <t>Net Banking</t>
  </si>
  <si>
    <t>Delivered</t>
  </si>
  <si>
    <t>Aman</t>
  </si>
  <si>
    <t>ORD0002</t>
  </si>
  <si>
    <t>Kavya Patel</t>
  </si>
  <si>
    <t>Prayagraj</t>
  </si>
  <si>
    <t>Tablet</t>
  </si>
  <si>
    <t>Website</t>
  </si>
  <si>
    <t>Esha</t>
  </si>
  <si>
    <t>ORD0003</t>
  </si>
  <si>
    <t>Amit Yadav</t>
  </si>
  <si>
    <t>Agra</t>
  </si>
  <si>
    <t>ORD0004</t>
  </si>
  <si>
    <t>Priya Patel</t>
  </si>
  <si>
    <t>Noida</t>
  </si>
  <si>
    <t>Office Chair</t>
  </si>
  <si>
    <t>Furniture</t>
  </si>
  <si>
    <t>Cash on Delivery</t>
  </si>
  <si>
    <t>Chetan</t>
  </si>
  <si>
    <t>ORD0005</t>
  </si>
  <si>
    <t>Pooja Yadav</t>
  </si>
  <si>
    <t>Bhopal</t>
  </si>
  <si>
    <t>UPI</t>
  </si>
  <si>
    <t>Deepak</t>
  </si>
  <si>
    <t>ORD0006</t>
  </si>
  <si>
    <t>Ananya Agarwal</t>
  </si>
  <si>
    <t>Pen Set</t>
  </si>
  <si>
    <t>Stationery</t>
  </si>
  <si>
    <t>Credit Card</t>
  </si>
  <si>
    <t>ORD0007</t>
  </si>
  <si>
    <t>Aditya Verma</t>
  </si>
  <si>
    <t>Kanpur</t>
  </si>
  <si>
    <t>Keyboard</t>
  </si>
  <si>
    <t>Accessories</t>
  </si>
  <si>
    <t>Debit Card</t>
  </si>
  <si>
    <t>ORD0008</t>
  </si>
  <si>
    <t>Riya Kumar</t>
  </si>
  <si>
    <t>Mobile App</t>
  </si>
  <si>
    <t>Bhavna</t>
  </si>
  <si>
    <t>ORD0009</t>
  </si>
  <si>
    <t>Simran Agarwal</t>
  </si>
  <si>
    <t>Smartwatch</t>
  </si>
  <si>
    <t>ORD0010</t>
  </si>
  <si>
    <t>Neha Patel</t>
  </si>
  <si>
    <t>Varanasi</t>
  </si>
  <si>
    <t>Webcam</t>
  </si>
  <si>
    <t>ORD0011</t>
  </si>
  <si>
    <t>Priya Tiwari</t>
  </si>
  <si>
    <t>Delhi</t>
  </si>
  <si>
    <t>Speaker</t>
  </si>
  <si>
    <t>Cancelled</t>
  </si>
  <si>
    <t>ORD0012</t>
  </si>
  <si>
    <t>Mohit Yadav</t>
  </si>
  <si>
    <t>Notebook</t>
  </si>
  <si>
    <t>ORD0013</t>
  </si>
  <si>
    <t>Mohit Sharma</t>
  </si>
  <si>
    <t>Mouse</t>
  </si>
  <si>
    <t>Returned</t>
  </si>
  <si>
    <t>ORD0014</t>
  </si>
  <si>
    <t>Saurabh Yadav</t>
  </si>
  <si>
    <t>Headphones</t>
  </si>
  <si>
    <t>ORD0015</t>
  </si>
  <si>
    <t>Ishita Patel</t>
  </si>
  <si>
    <t>Patna</t>
  </si>
  <si>
    <t>ORD0016</t>
  </si>
  <si>
    <t>Rohan Yadav</t>
  </si>
  <si>
    <t>Desk</t>
  </si>
  <si>
    <t>ORD0017</t>
  </si>
  <si>
    <t>Monitor</t>
  </si>
  <si>
    <t>ORD0018</t>
  </si>
  <si>
    <t>Saurabh Agarwal</t>
  </si>
  <si>
    <t>ORD0019</t>
  </si>
  <si>
    <t>Arjun Sharma</t>
  </si>
  <si>
    <t>ORD0020</t>
  </si>
  <si>
    <t>Simran Singh</t>
  </si>
  <si>
    <t>Backpack</t>
  </si>
  <si>
    <t>ORD0021</t>
  </si>
  <si>
    <t>Ananya Verma</t>
  </si>
  <si>
    <t>ORD0022</t>
  </si>
  <si>
    <t>Karan Gupta</t>
  </si>
  <si>
    <t>Jaipur</t>
  </si>
  <si>
    <t>ORD0023</t>
  </si>
  <si>
    <t>Kavya Sharma</t>
  </si>
  <si>
    <t>Calculator</t>
  </si>
  <si>
    <t>ORD0024</t>
  </si>
  <si>
    <t>External HDD</t>
  </si>
  <si>
    <t>ORD0025</t>
  </si>
  <si>
    <t>Aditya Agarwal</t>
  </si>
  <si>
    <t>ORD0026</t>
  </si>
  <si>
    <t>Rohan Gupta</t>
  </si>
  <si>
    <t>ORD0027</t>
  </si>
  <si>
    <t>Ananya Tiwari</t>
  </si>
  <si>
    <t>ORD0028</t>
  </si>
  <si>
    <t>Kavya Gupta</t>
  </si>
  <si>
    <t>ORD0029</t>
  </si>
  <si>
    <t>USB Drive</t>
  </si>
  <si>
    <t>ORD0030</t>
  </si>
  <si>
    <t>Aditya Yadav</t>
  </si>
  <si>
    <t>ORD0031</t>
  </si>
  <si>
    <t>ORD0032</t>
  </si>
  <si>
    <t>ORD0033</t>
  </si>
  <si>
    <t>ORD0034</t>
  </si>
  <si>
    <t>ORD0035</t>
  </si>
  <si>
    <t>Rohan Verma</t>
  </si>
  <si>
    <t>ORD0036</t>
  </si>
  <si>
    <t>Karan Tiwari</t>
  </si>
  <si>
    <t>Printer</t>
  </si>
  <si>
    <t>ORD0037</t>
  </si>
  <si>
    <t>Simran Mishra</t>
  </si>
  <si>
    <t>ORD0038</t>
  </si>
  <si>
    <t>Simran Sharma</t>
  </si>
  <si>
    <t>ORD0039</t>
  </si>
  <si>
    <t>Priya Gupta</t>
  </si>
  <si>
    <t>ORD0040</t>
  </si>
  <si>
    <t>Karan Singh</t>
  </si>
  <si>
    <t>ORD0041</t>
  </si>
  <si>
    <t>Ishita Mishra</t>
  </si>
  <si>
    <t>Power Bank</t>
  </si>
  <si>
    <t>ORD0042</t>
  </si>
  <si>
    <t>Mohit Agarwal</t>
  </si>
  <si>
    <t>ORD0043</t>
  </si>
  <si>
    <t>Ishita Yadav</t>
  </si>
  <si>
    <t>ORD0044</t>
  </si>
  <si>
    <t>ORD0045</t>
  </si>
  <si>
    <t>Arjun Tiwari</t>
  </si>
  <si>
    <t>Smartphone</t>
  </si>
  <si>
    <t>ORD0046</t>
  </si>
  <si>
    <t>Nisha Kumar</t>
  </si>
  <si>
    <t>Shipped</t>
  </si>
  <si>
    <t>ORD0047</t>
  </si>
  <si>
    <t>Vikas Mishra</t>
  </si>
  <si>
    <t>ORD0048</t>
  </si>
  <si>
    <t>Simran Patel</t>
  </si>
  <si>
    <t>ORD0049</t>
  </si>
  <si>
    <t>Aarav Agarwal</t>
  </si>
  <si>
    <t>ORD0050</t>
  </si>
  <si>
    <t>Kavya Agarwal</t>
  </si>
  <si>
    <t>ORD0051</t>
  </si>
  <si>
    <t>ORD0052</t>
  </si>
  <si>
    <t>Rahul Kumar</t>
  </si>
  <si>
    <t>ORD0053</t>
  </si>
  <si>
    <t>Vikas Patel</t>
  </si>
  <si>
    <t>ORD0054</t>
  </si>
  <si>
    <t>Aditya Sharma</t>
  </si>
  <si>
    <t>ORD0055</t>
  </si>
  <si>
    <t>Arjun Gupta</t>
  </si>
  <si>
    <t>ORD0056</t>
  </si>
  <si>
    <t>Pooja Agarwal</t>
  </si>
  <si>
    <t>ORD0057</t>
  </si>
  <si>
    <t>ORD0058</t>
  </si>
  <si>
    <t>Aarav Patel</t>
  </si>
  <si>
    <t>ORD0059</t>
  </si>
  <si>
    <t>Kavya Kumar</t>
  </si>
  <si>
    <t>ORD0060</t>
  </si>
  <si>
    <t>Rohan Kumar</t>
  </si>
  <si>
    <t>ORD0061</t>
  </si>
  <si>
    <t>ORD0062</t>
  </si>
  <si>
    <t>Nisha Tiwari</t>
  </si>
  <si>
    <t>ORD0063</t>
  </si>
  <si>
    <t>Saurabh Mishra</t>
  </si>
  <si>
    <t>ORD0064</t>
  </si>
  <si>
    <t>ORD0065</t>
  </si>
  <si>
    <t>ORD0066</t>
  </si>
  <si>
    <t>Vikas Sharma</t>
  </si>
  <si>
    <t>ORD0067</t>
  </si>
  <si>
    <t>Arjun Mishra</t>
  </si>
  <si>
    <t>ORD0068</t>
  </si>
  <si>
    <t>Aditya Singh</t>
  </si>
  <si>
    <t>ORD0069</t>
  </si>
  <si>
    <t>Ishita Verma</t>
  </si>
  <si>
    <t>ORD0070</t>
  </si>
  <si>
    <t>ORD0071</t>
  </si>
  <si>
    <t>Arjun Agarwal</t>
  </si>
  <si>
    <t>ORD0072</t>
  </si>
  <si>
    <t>Vikas Agarwal</t>
  </si>
  <si>
    <t>ORD0073</t>
  </si>
  <si>
    <t>ORD0074</t>
  </si>
  <si>
    <t>Vikas Tiwari</t>
  </si>
  <si>
    <t>ORD0075</t>
  </si>
  <si>
    <t>ORD0076</t>
  </si>
  <si>
    <t>ORD0077</t>
  </si>
  <si>
    <t>Neha Mishra</t>
  </si>
  <si>
    <t>ORD0078</t>
  </si>
  <si>
    <t>ORD0079</t>
  </si>
  <si>
    <t>ORD0080</t>
  </si>
  <si>
    <t>ORD0081</t>
  </si>
  <si>
    <t>Arjun Yadav</t>
  </si>
  <si>
    <t>ORD0082</t>
  </si>
  <si>
    <t>Kavya Singh</t>
  </si>
  <si>
    <t>ORD0083</t>
  </si>
  <si>
    <t>Mohit Gupta</t>
  </si>
  <si>
    <t>ORD0084</t>
  </si>
  <si>
    <t>Amit Tiwari</t>
  </si>
  <si>
    <t>ORD0085</t>
  </si>
  <si>
    <t>Aditya Mishra</t>
  </si>
  <si>
    <t>ORD0086</t>
  </si>
  <si>
    <t>ORD0087</t>
  </si>
  <si>
    <t>ORD0088</t>
  </si>
  <si>
    <t>ORD0089</t>
  </si>
  <si>
    <t>Pooja Sharma</t>
  </si>
  <si>
    <t>ORD0090</t>
  </si>
  <si>
    <t>Neha Singh</t>
  </si>
  <si>
    <t>ORD0091</t>
  </si>
  <si>
    <t>Vikas Kumar</t>
  </si>
  <si>
    <t>ORD0092</t>
  </si>
  <si>
    <t>Simran Gupta</t>
  </si>
  <si>
    <t>ORD0093</t>
  </si>
  <si>
    <t>ORD0094</t>
  </si>
  <si>
    <t>Pooja Verma</t>
  </si>
  <si>
    <t>ORD0095</t>
  </si>
  <si>
    <t>Aditya Gupta</t>
  </si>
  <si>
    <t>ORD0096</t>
  </si>
  <si>
    <t>Riya Singh</t>
  </si>
  <si>
    <t>ORD0097</t>
  </si>
  <si>
    <t>ORD0098</t>
  </si>
  <si>
    <t>Priya Kumar</t>
  </si>
  <si>
    <t>ORD0099</t>
  </si>
  <si>
    <t>Kavya Mishra</t>
  </si>
  <si>
    <t>ORD0100</t>
  </si>
  <si>
    <t>Nisha Yadav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</si>
  <si>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</si>
  <si>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</si>
  <si>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</si>
  <si>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</si>
  <si>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</si>
  <si>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</si>
  <si>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</si>
  <si>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</si>
  <si>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</si>
  <si>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</si>
  <si>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</si>
  <si>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</si>
  <si>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</si>
  <si>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</si>
  <si>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</si>
  <si>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</si>
  <si>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</si>
  <si>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SALE PERFOMANCE</t>
  </si>
  <si>
    <t>Column18</t>
  </si>
  <si>
    <t>Sales Classification</t>
  </si>
  <si>
    <t>Column19</t>
  </si>
  <si>
    <t>Row Labels</t>
  </si>
  <si>
    <t>Grand Total</t>
  </si>
  <si>
    <t>Count of Column14</t>
  </si>
  <si>
    <t>Count of Column13</t>
  </si>
  <si>
    <t>Count of Column2</t>
  </si>
  <si>
    <t>STATE</t>
  </si>
  <si>
    <t>SALES</t>
  </si>
  <si>
    <t>Rajasthan</t>
  </si>
  <si>
    <t>Bihar</t>
  </si>
  <si>
    <t>Madhya Pradesh</t>
  </si>
  <si>
    <t>Count of 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</si>
</sst>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3" fillId="0" borderId="2" xfId="0" applyFont="1" applyBorder="1" applyAlignment="1">
      <alignment horizontal="center" vertical="top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[Excel_Practice_100_Ecommerce_.xlsx]Sheet1!PivotTable1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Sheet1!$A$4:$A$15</c:f>
              <c:strCache>
                <c:ptCount val="11"/>
                <c:pt idx="0">
                  <c:v>Agra</c:v>
                </c:pt>
                <c:pt idx="1">
                  <c:v>Bhopal</c:v>
                </c:pt>
                <c:pt idx="2">
                  <c:v>City</c:v>
                </c:pt>
                <c:pt idx="3">
                  <c:v>Delhi</c:v>
                </c:pt>
                <c:pt idx="4">
                  <c:v>Jaipur</c:v>
                </c:pt>
                <c:pt idx="5">
                  <c:v>Kanpur</c:v>
                </c:pt>
                <c:pt idx="6">
                  <c:v>Lucknow</c:v>
                </c:pt>
                <c:pt idx="7">
                  <c:v>Noida</c:v>
                </c:pt>
                <c:pt idx="8">
                  <c:v>Patna</c:v>
                </c:pt>
                <c:pt idx="9">
                  <c:v>Prayagraj</c:v>
                </c:pt>
                <c:pt idx="10">
                  <c:v>Varanasi</c:v>
                </c:pt>
              </c:strCache>
            </c:strRef>
          </c:cat>
          <c:val>
            <c:numRef>
              <c:f>Sheet1!$B$4:$B$15</c:f>
              <c:numCache>
                <c:formatCode>General</c:formatCode>
                <c:ptCount val="11"/>
                <c:pt idx="0">
                  <c:v>15</c:v>
                </c:pt>
                <c:pt idx="1">
                  <c:v>8</c:v>
                </c:pt>
                <c:pt idx="2">
                  <c:v>1</c:v>
                </c:pt>
                <c:pt idx="3">
                  <c:v>12</c:v>
                </c:pt>
                <c:pt idx="4">
                  <c:v>10</c:v>
                </c:pt>
                <c:pt idx="5">
                  <c:v>7</c:v>
                </c:pt>
                <c:pt idx="6">
                  <c:v>10</c:v>
                </c:pt>
                <c:pt idx="7">
                  <c:v>12</c:v>
                </c:pt>
                <c:pt idx="8">
                  <c:v>11</c:v>
                </c:pt>
                <c:pt idx="9">
                  <c:v>9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5-4523-A2D4-E08788504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9392447"/>
        <c:axId val="1575351983"/>
      </c:barChart>
      <c:catAx>
        <c:axId val="164939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351983"/>
        <c:crosses val="autoZero"/>
        <c:auto val="1"/>
        <c:lblAlgn val="ctr"/>
        <c:lblOffset val="100"/>
        <c:noMultiLvlLbl val="0"/>
      </c:catAx>
      <c:valAx>
        <c:axId val="157535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39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[Excel_Practice_100_Ecommerce_.xlsx]Sheet1!PivotTable2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Sheet1!$L$13:$L$19</c:f>
              <c:strCache>
                <c:ptCount val="6"/>
                <c:pt idx="0">
                  <c:v>Aman</c:v>
                </c:pt>
                <c:pt idx="1">
                  <c:v>Bhavna</c:v>
                </c:pt>
                <c:pt idx="2">
                  <c:v>Chetan</c:v>
                </c:pt>
                <c:pt idx="3">
                  <c:v>Deepak</c:v>
                </c:pt>
                <c:pt idx="4">
                  <c:v>Esha</c:v>
                </c:pt>
                <c:pt idx="5">
                  <c:v>Salesperson</c:v>
                </c:pt>
              </c:strCache>
            </c:strRef>
          </c:cat>
          <c:val>
            <c:numRef>
              <c:f>Sheet1!$M$13:$M$19</c:f>
              <c:numCache>
                <c:formatCode>General</c:formatCode>
                <c:ptCount val="6"/>
                <c:pt idx="0">
                  <c:v>18</c:v>
                </c:pt>
                <c:pt idx="1">
                  <c:v>13</c:v>
                </c:pt>
                <c:pt idx="2">
                  <c:v>20</c:v>
                </c:pt>
                <c:pt idx="3">
                  <c:v>27</c:v>
                </c:pt>
                <c:pt idx="4">
                  <c:v>22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3-44C2-9FDB-D88A509E9BD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41795983"/>
        <c:axId val="1575395183"/>
      </c:barChart>
      <c:catAx>
        <c:axId val="174179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395183"/>
        <c:crosses val="autoZero"/>
        <c:auto val="1"/>
        <c:lblAlgn val="ctr"/>
        <c:lblOffset val="100"/>
        <c:noMultiLvlLbl val="0"/>
      </c:catAx>
      <c:valAx>
        <c:axId val="157539518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4179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[Excel_Practice_100_Ecommerce_.xlsx]Sheet5!PivotTable3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F81BD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Sheet5!$A$4:$A$9</c:f>
              <c:strCache>
                <c:ptCount val="5"/>
                <c:pt idx="0">
                  <c:v>Accessories</c:v>
                </c:pt>
                <c:pt idx="1">
                  <c:v>Category</c:v>
                </c:pt>
                <c:pt idx="2">
                  <c:v>Electronics</c:v>
                </c:pt>
                <c:pt idx="3">
                  <c:v>Furniture</c:v>
                </c:pt>
                <c:pt idx="4">
                  <c:v>Stationery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27</c:v>
                </c:pt>
                <c:pt idx="1">
                  <c:v>1</c:v>
                </c:pt>
                <c:pt idx="2">
                  <c:v>49</c:v>
                </c:pt>
                <c:pt idx="3">
                  <c:v>10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5F-45BC-A7BA-ADE2AF6D8B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211432464"/>
        <c:axId val="1065267856"/>
      </c:barChart>
      <c:catAx>
        <c:axId val="121143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267856"/>
        <c:crosses val="autoZero"/>
        <c:auto val="1"/>
        <c:lblAlgn val="ctr"/>
        <c:lblOffset val="100"/>
        <c:noMultiLvlLbl val="0"/>
      </c:catAx>
      <c:valAx>
        <c:axId val="1065267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3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21"/>
              <c:pt idx="0">
                <c:v>Backpack</c:v>
              </c:pt>
              <c:pt idx="1">
                <c:v>Calculator</c:v>
              </c:pt>
              <c:pt idx="2">
                <c:v>Desk</c:v>
              </c:pt>
              <c:pt idx="3">
                <c:v>External HDD</c:v>
              </c:pt>
              <c:pt idx="4">
                <c:v>Headphones</c:v>
              </c:pt>
              <c:pt idx="5">
                <c:v>Keyboard</c:v>
              </c:pt>
              <c:pt idx="6">
                <c:v>Laptop</c:v>
              </c:pt>
              <c:pt idx="7">
                <c:v>Monitor</c:v>
              </c:pt>
              <c:pt idx="8">
                <c:v>Mouse</c:v>
              </c:pt>
              <c:pt idx="9">
                <c:v>Notebook</c:v>
              </c:pt>
              <c:pt idx="10">
                <c:v>Office Chair</c:v>
              </c:pt>
              <c:pt idx="11">
                <c:v>Pen Set</c:v>
              </c:pt>
              <c:pt idx="12">
                <c:v>Power Bank</c:v>
              </c:pt>
              <c:pt idx="13">
                <c:v>Printer</c:v>
              </c:pt>
              <c:pt idx="14">
                <c:v>Product</c:v>
              </c:pt>
              <c:pt idx="15">
                <c:v>Smartphone</c:v>
              </c:pt>
              <c:pt idx="16">
                <c:v>Smartwatch</c:v>
              </c:pt>
              <c:pt idx="17">
                <c:v>Speaker</c:v>
              </c:pt>
              <c:pt idx="18">
                <c:v>Tablet</c:v>
              </c:pt>
              <c:pt idx="19">
                <c:v>USB Drive</c:v>
              </c:pt>
              <c:pt idx="20">
                <c:v>Webcam</c:v>
              </c:pt>
            </c:strLit>
          </c:cat>
          <c:val>
            <c:numLit>
              <c:formatCode>General</c:formatCode>
              <c:ptCount val="21"/>
              <c:pt idx="0">
                <c:v>4</c:v>
              </c:pt>
              <c:pt idx="1">
                <c:v>5</c:v>
              </c:pt>
              <c:pt idx="2">
                <c:v>4</c:v>
              </c:pt>
              <c:pt idx="3">
                <c:v>3</c:v>
              </c:pt>
              <c:pt idx="4">
                <c:v>3</c:v>
              </c:pt>
              <c:pt idx="5">
                <c:v>4</c:v>
              </c:pt>
              <c:pt idx="6">
                <c:v>9</c:v>
              </c:pt>
              <c:pt idx="7">
                <c:v>6</c:v>
              </c:pt>
              <c:pt idx="8">
                <c:v>5</c:v>
              </c:pt>
              <c:pt idx="9">
                <c:v>5</c:v>
              </c:pt>
              <c:pt idx="10">
                <c:v>6</c:v>
              </c:pt>
              <c:pt idx="11">
                <c:v>4</c:v>
              </c:pt>
              <c:pt idx="12">
                <c:v>8</c:v>
              </c:pt>
              <c:pt idx="13">
                <c:v>3</c:v>
              </c:pt>
              <c:pt idx="14">
                <c:v>1</c:v>
              </c:pt>
              <c:pt idx="15">
                <c:v>3</c:v>
              </c:pt>
              <c:pt idx="16">
                <c:v>8</c:v>
              </c:pt>
              <c:pt idx="17">
                <c:v>5</c:v>
              </c:pt>
              <c:pt idx="18">
                <c:v>4</c:v>
              </c:pt>
              <c:pt idx="19">
                <c:v>6</c:v>
              </c:pt>
              <c:pt idx="20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1EFD-4AED-A680-A96B77D33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64284256"/>
        <c:axId val="1065273136"/>
      </c:barChart>
      <c:catAx>
        <c:axId val="10642842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273136"/>
        <c:crosses val="autoZero"/>
        <c:auto val="1"/>
        <c:lblAlgn val="ctr"/>
        <c:lblOffset val="100"/>
        <c:noMultiLvlLbl val="0"/>
      </c:catAx>
      <c:valAx>
        <c:axId val="10652731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28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00000000-6109-4499-87F9-B4FE1B60CFD9}">
          <cx:tx>
            <cx:txData>
              <cx:f>_xlchart.v5.2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1HpZk9U4tu5fqeD5mvKkwR1d/SDvIeeZBPLFkWQmsmRZsgbbsn/9XVlQ1ZANVDfR98Y5BAGxt7Zl
aQ3f+tbw94f4twf1dO9+ib3S/m8P8bdXbQjD33791T+0T/29f92LB2e8+RheP5j+V/Pxo3h4+vXR
3c9C81/zNCt/fWjvXXiKr/7xd9iNP5kT83AfhNGX45Nbrp78qIL/wdo3l365f+yF3ggfnHgI2W+v
3oQAp7xw949Pvn31y5MOIiw3y/D026uvfvrql19fbvgvL/9FwfnC+AjP5vh1lRcIZ1n66U/26hdl
NP+8TNPXCOMC5bSofv9T/PHqs/seHv+3T/X7me4fH92T93C33///l8e/ugisXrz65cGMOjxLkYNA
f3t1qB/F/atfhDf1p4XaPN/i8Oz3a//6tfz/8fcXX4AgXnzzhYpeSu2vlr5ztC8V89Xh/1PF5K+f
xY6zz4Kv6FeKIdXrAhcFTcvik97I14r5LKjvn+bbCvn82FcH/58l9a9sBPxi86Ra8cfd/wv+QF/j
siiqFONv+QMhr7MMlYSi7JM/4D9e/ckf/vI03xb758e+uhtc7eR/tP1/dVrQxNW9vPehvdd/iOS/
oA38GtESECjLP2kj/9oJite0rEBX1WdtoD9e/Ukb/9aJvq2RLx796p5wzaP/VVphAqLTH2L5L2gE
vcakAvNHn3HnRbyA5bTCuKxAU5/A55Mq/vIY31bD58deqIBd/a9Swen9Y7vc/z+I3cVrVNCMIES/
iVX0dU5pBVHis3e8iN3//rG+rZuXz79Q0un/5+j9/cj+J//Z3If77e/E6Yvg/uPV368OnO7Foz/i
X5/M/vDxt1dZhSnE5T8J2fMmX3nFSxH+y6NPgKi/vaL5awo4iEmW5ilKCQWnm5+eV0j5Os2ePbGk
NKdZDgCojQvt78SOwgMVrcoyrTJSwUG8GX9fyl6nBOcV+CkpEDA7+id1vTBq4Ub/KZPPn3/RY39h
hA4eLpU/bzV8+uHzLUmJMwiXGc5zhEmZApuE9Yf7KyDIz7//PyJLqrh2q99FNbblJnW83WfetedJ
ItPbFoXsLbWcqtqtRJ2IYpmzI6qHcEhnIa91mYtzZydumZ2X8hGJrrpZdaiGfWN4jk8aPY7tLeem
WViSGHo7NTJn+ZDnm5gUKfOpurJlEd8QZFAd2nE6H3R6u0oXEzbo+Uagob/hq9aPIyLFuUt7eZCX
Az3C69oeOt6PF30XlWcFQdHUXoV+qG2brHXIl7Bv0eLTWge9HtM0m9PajXS5rMZmWpgUWJmj3Nkr
HXG/Xk2VN8Uhbtf+ekjpOm2kcNN1n5m+OlrLOVtYlaoSM1rm7XSYczVZVkzN8JgkdFzYYnWjWNGn
PJyMUVfV0dTkhGyXuczd5bJ0w2PpSiP2vIrddJtkvHo06xo/rNlssoPcVbbfBlJ0NZdzgneiqpza
JLjL+3NEiZ6P1gRNH0NDgjmLbW/vVD5mNwbnPStcQy/zckH7WcrDFnAlORqSdkj3RlH8YXGinA4L
PCyO2cZZzlSL05W1cSg3eHJml0leirrJyq5l1ZLelN6I96Mq+eNoE/cQU0/OeiIWsvXUhm3Tzrys
UT/MxyTLw17zZqasQ67fg1TKrA5ItUx5O1XMimE9QFM31zwL/KRQSd/drWAcV1L2iWMh1elR4mjH
TKLyOqy8UmxolpZlacFFPYy9Y4rjdjMWGjNUdnm+l3omR8kg+Umpu4exB2uJ2nZ8I3oz1qvg8pr6
wJlf1o6lCu490gbXMlmztuZlNPepiQ3zYiw+ctXTt6Xrwciz1HfFXTsQzMSgppqM8UORmZRVfEoO
ZER8U+lM7FO5hnYT+koc49BfDYUUkWnXniC0oEtCUPXeOSVO+Sw83qplbfc2EPrg+hzLuksT9W5y
cRxZkqMYGBY88pqUeS/YmOq2q5VUkdZpq+Rw5HWR7AldbWSL4v5kbiaxkVpfUTmnW2Gy0u5LGXI2
FNWNKsvpvSuJrtNhAnuvZoraepp8R3fUNLQ4SJt+vUd9O7Zvx9S0ohaxJYrpFsuUxSyZ58OUhHZi
87gWtDZ9KvRhllPB2VBN7Ts/i2hZn/FgdqYgUzyxC0+qTdvNdq5Tmhftruxwbus2mbNz70RG2IAd
fl+sxCWRUU6SZt/0Y/m2LEqbnKHSt24nkGjHXczyDG3KyedL3eG5QLt5iUu6kREUzfJUow58Pec6
npWW8PG0megs68zKtL8WFfzqqqVzN7GFNNn8NoB1UZYS1cVdwxNqajG36VDrpVrBytbZHIRWhJtU
KnRIUcXtdefNQrciCZV8mqdlOJmU8eDYaMCaLWumbh0cNK9LI7snNYfKbYumcQMbOpukG46I8mBI
qx6Zp4lTtR6zZtr0q/roKmnrHhcz3zZy6PwhWGYc2SBywrLKlZduEvpMa4QecRJ1flBWpBJHY4nc
h6JSLmF929lN06I4MQFLABIxf6Nxmb2xZb+mLO2ycqe6kh+gdLC8bulAaoKEFfWaVSjfNKiXE+va
tQ0MAJL4epSjhZTdq36TiaFJYLEwPVOx045J7eb306Tp6dQh/dYQufRsRvNyNs55d6RdUUXmhiFu
AYd4som+mg9wFubTqbLVRZNQJWoq22onExwvURyXumx1ftVPui3rOSDJ605zc9jYvPJsUDE7zOwi
jkOYY40SZ28ynRdv+4DnXeaKha26woejmHlgPYTIfhuTNP0Q+aTqIsmj3HKR8HXL6Tru02WsTgYT
klonvuhYZ/qRtaUezpNgxvu0iPFOzFl569usO8TjJHepm5oriJaC7m1G/I3JZPxggygf8yqbb2bX
z7sJ6esKYCmy2ZLKb9vJXMuxjJL5tR2OrO0AeYH98YOst8Wm9xPaT1pLUaMyTEWNZCXaHVXT6phX
+D0nGtQ6eu2PO7zQj9VkRqaFKeu0qdIDGUJ/R0if8I1BaT4fpPlYbNWk6Eblyhz0/WS2zsn5DHlb
GGZNyORuyeDCIeXZ02BEcjI2smjrXPNsOFn6Yh023q3mjVWzIqyJPcQuPQ3l4VCO03HXtTxsDIEE
jy1pEHcoScrLaVyKU2m76ly7Lu9YhukDhGZ3slbcv5cTKsA2YhyOhtjx4z7rJZxlAaBCRXRXvcjh
cyin6hzOEu76uUpvu8zjmY2zWa9yYttDgZYhbBpMdp7IJ0xz9QaTVW7nphfhDLSn36drum4iCsle
uoD2Ji/lRpjhcSLretFWKz0D5hIVq3T/bsmUq22ViPZQm7JlOhvdtqvMBP5GYrHJUoEv0yFLW9aP
1XKZjck6XGuvkqO8NO4uzzQYGC/HVbDG2J5uZmemmVHswwdsp/LO02G6jAqo/CFqdffOzJzz86UM
CpxRlvqDmX14aAo1aeajccmR980iQaqykruJT+S6KhevAV8UORpoSFrWIAP/Li1KaA27AZilCSHT
xgHNq1FuYbFrArosZW5qNHtAZlBudhsTr8M2BLqaGp7uNwMQM8sGFMV+WefwEZnKWNZN8Dkt2vEj
msN0qGY0nMzYkSOUiOGyM2ZamSeLbTdITfKN0lbvW9v7Y9E26T7FDT6qHIGNMifUW5kp1dYV9hBs
FhCOr0k3wQmnFhYrA1zwwMney92wFOu9rbQstzYWy71YkuYh+EjKrfeT5uCxpW1ZHpe2u8gS5I5B
8VayHB7Xte0HLVlPvD63HV2vgJi2myh4rlgpKB82ZlQrGGvS8H1eSXNXdWMP/lboeReTVWSs6aaB
BWSH99oEzGuxOH3fLQgdl03T3Bfj6LdT40YHBC9pjrmxGWJDhrpDAkfacsDMpZY0NW8D5fZhTY1d
WGEIOhMtmhJWjQZftWaJJ84P+sZUI5zNOYPODBWTqOdB+ENtV15s85KbC0D9ZeMcqdYDIDtmYGna
8DdNpp5xZwaY9Hk11bivsp65BkjTZjFS93URF3tHhYRQQ5NqPXe9ReVmGON4H4JBW9JKKMH2tuvO
C5G7kpG5z7q6Xco0ZZki8TS4bCxrT9P1DV9DdVPZoaM1ZALrmVja9ECbqKdNJLF8l1Zoaq+7OFYX
tmwLtQWAoY8BuGVgMaZLs/MQmS80X9BRq0yTMtEHelCYIgl1R9pkYRxkdpCKatqjEErPUObIpVhl
QhjVc36NIepsBszH23YN4rpYcnoxLxx4W4usv1R5QNMurVbkgZIk6QLMfsILcxPH1xOuxLmcVgwk
j3bLOSps99DzWFzZAYD6ABeGt0wkCG/RhJJHQDy5g/iMd/lC5RNZ4rABKoTeVLEy2c6nCb5Kxxnf
mVUSUVdtIWpsc9exeQnVUYsNed+Rab3oU5d8MLSX1+nSOnGc+9Af62khHyuaiuFk5d40bPWofyzK
GG7XOS4HalXTMRlQJzYlaVNZp2SSeodbtywboQGFDqzt8cFiZfIG80VNW+UHv08DCsd966qaLCJN
a4uGYpstoxtrnSt1lHb93Nalmpa3K23C1rRyWOC3xJJN24u46zIznATTkW6TcOG2MzQRjiP36WHW
j+9iGnrWcCM2q1hGOEhu7xqTPidTeDiKbUEPhRsAeUpeXoqZhC1acs6ZWGbDUgAvViTtbd5llJUu
jwyscGK5rz4aUh54XLjDyBu+tTSoXZm0cU/n1uwbsTRPTTL48zI3gH9LlUjmImSHSSj3pg/tfgaK
UG7yOOEzXhlzETVqD60c/C5bEn2Q+bk7tpyMD3MXhkuSLA2tmwmokYrE3JQQ+3aYzv5gVhW/Azrj
a1O1kPoCNPsRDrqspIEI3klGJtMcD2gS+6FyK4t89CdjziFSJ9O6mcX8ANlDOMwM7RSDSNxtJz2H
x87qdN7KWdFDJVt6J22e8Y22OBzNYCB1kizu2Nk8AFns5FHlu+l+pfZxHRLgVqpsnsMpZGNDq5tD
vDh3tCT5uocUiO+mtoWsVixFeloJpLctQUVtdTIxx6d8J5qIL0OfLrS2MbpjbLtwkg7tcLgkg5Ub
ilx6jlbEa5VIfFKY5gbM/hKX/HiK422xzuVFSTrKKFJrnXXdwHw2VwzUOdVVxyUkbqtsT9sk6K6W
y6huTRHbtynHVQ3ZJx4hwNo3OA3xXgxdvMBrnguW4iBPlxWTA5zP5aFpUFXs0+hLgDcZ1/c4T8+7
wbvzri+hRuDDwZgVDhjgqDXkacV4B6yzqXWH0Du/mOnDsPrTvlX22CvZb2yWqhUgpuAf8qpJP3Cg
GzUdo9kt40JPgeitx5Op/JlU03jdt/Duglq04ZAq76ziyoKJJuiwX/v8zGAy3wQC3HzxXSjYqJLw
3jYUHYUsn7a6H1sWlsJ/oFrwnapIPEZVM183HCnIc0K6m0sK0Q1KqrsiyfBbqm3VMT1wPm0mN63p
FtjIhQJrtNt+smpgZsz6rU0smpjpRh3qPCcBQnhm2xpD1gbZcFIMd6EH8rRpk3H6SFQTyA3hkcY6
y7WGzCTkbR0gmjy6PJmLulN9PJCr0HeROyhPjEWuGkYSOfCLXg7pbSMmA/S7gzKRLPK7vE3weS5V
9uhlYjLWlaqXbAA9HI6Q3ewwUZBIkDWK287GGbGEDrm4Hgav9UHklm4HjsOwpcqu76Z2QIcEKkCH
cfQ55Aux0BdZp3J88FwguecoybZTt5KOlVPEU12UAWJY0CG5zvySsjBPZQ3xZbhuFQn3uRIAAD7r
D3Ik7pw07XHhfdBbNfJuk85QZ4G8TmUb3Bh0Y8kSDrxei/yUxyXzdaGddNvc5yvZh7Qvkl0RExkY
nXtNb6UVebofIGoWzDfqmTLyk3kedmJ2EgQRqnFljU9Xz+RUpR+HNI5ndC2bt2nsCWHtUjQj/IzI
d0ILdwQVHG12VNpCQEkrqqOEyKK/mZuwXuuQTfikj23wx6aNXdys7dJvxZzM9QJViX0oyPuqt321
tZC+7QsozhFAJJHOdZGh9RSSTndXaYhYu3kWiHXczzWkZsnNQBt6kuDV10AhC9aOZroDlxPuDCAf
l8d27OV51hTlg5IjfQuVmZQlEI+ASQ9orzs1nKFqsA+l4xycqeLFSbRjtsuqVj3KZEiaA0ulqKD8
4DrHsrWIUNupeoeA8UHBgBVD7kKNhxllGyeG+VR2hX9OC0cO9QhlfcdoHEK5AVwfZzYMfEZ14Q1J
j1U7op6JMoK7e9kuiDVpH4oDD5mY3PVkoWo/kSnduA4FUpduGN8VjX2myt44iDleqZsOyoGobqBi
ea4hfYFvewfg3vZgmAzidIePLOrLe574krmx5bHu5qUDhgMhaiEoGVjZ9vForgb8oVPZ8Bb3GX23
Yq0j465NLgxVxVL7sqS+ngu/7OgSgMIKNbpDYOJqN61Dp+pmGT2kd9qmth5kGChDLeV3pV2GvcYj
PlONpiUkXT1NdoGMZIMERQ8Y6h/JRuaqO8al6jSgfE7fSZ94t8/waI+lxcVFj9LiQPXBMLDgQl3p
RNmDuSmsq1sHuUedVzwoUAnWJ5nMeM687cFJ+qIrh+3UG2f3Td4nE2dzaPrhUFauGbdjn8l9N5Ey
skY18f2EIcGCm1B/Oy5kdDUeYwW3Jnjldd6FdWCkWqCANnXAkkfVZjeU0HbaloFi4AkdL46xn8ae
cTTJ+9yPK9QtREyy3cKzNKn7qQzuqCLj+lbqEZIuME9MNx2PBGWsTCN/J0Tw+17n+AgKIkTsNC30
Hqq16lHbPj/V1VJJprqxGFnvicPnYuTh1lZIvrVzOnVsXBoM11ypwXWXEL+AiY2ZrmcwlaOwNKtm
wVE7sXHi1U0vHGTzMQf4WXAmPzTLHKAOkuc2PwGcEIrxNBvAQDvUZ4c0Wqf3nFZTcTz307huhIzk
waHRvVE4byEZEz0YdZdDSY+JQJaatxhqj5ALJN22G52RzJis4PeRCHIccwe1UlFJeiajGDzwCWcB
sCW3ivWA/+um0yVPN0iHldRKZ1Cwwe1o080kpuFM9irOUKTt4nvcyGazEju+B09y+YlL03HPB+7H
kyHNJwR8mRTVJik8f2wyIdtdzEcJZK/Ria0hLAGuRB1V/0YWU3m0VmbNWToGi+sZwmTJElzN+xJ3
wzbJPTJsGtLlZNHJKJ6zyITXg4uWb1dllNzmrVgvc9t0w54CM3KQMlV+Y1Pw+e0kyuZ0jkkz1y7I
dWtTmc5s7noof3VpFUoGqFpMjPZxl5g5HU+WGWlbJxaiTK2WAepowqVQTPIEAw6sbUXP/BqA3SuI
bJCC4UVvGikNJOeFcnhvKMdAT2cOxaLFwIF5En1z6keNmp3qs49Tl9ArR0kGlUeJMSsTE+ImbWXo
wI3VoFiiBqe3HmCTMxxscskh1aC3uViXLceTgARGBgvBJZuSHaT1pfhYlnq5U0DI0FaKXFxBFbfU
IGNkN+1MxFWn6HJAKDQQdm0Xye0gxuF4XSZ+K/sWmLSmg7xQVr0bkqLZGkFIdyghiGybMQ+M2zA1
mzE2+h4aOsmjEcNyI1U1JpvWxBSoKcDucqwgFDoWqerPIIeM9MDOz7XsbqoegMy5D6mk/Zs1jU7U
Zpj9FpK19iiBaRZaB/N8o9CMBSswzgFUVfmUJXbeQdWi2EUoKBxDSaesZYHGC58u+bhJelNkbCXz
elCA4V4FOw9XzRrBA2SXiU2b8/zaWQ+YHVYabjqaZ/G4teOwW6G+wnfrTKa27hMPlahs8HjdNeVY
iAMK5ivBjaYC6paineUZFBu6Zbeu2bSeDAU0UA98RAW0Z9pASya6PDsMS3vd2hLXUElc7tNGbIuk
NJshlZpRu6r5ARoyFjIBm78DThYRxDbZ4usOUhM2mY4OTDjMb1ye0Rvgonyt06olSZ1CKyoB2mbt
W0xS87HKgTlD5wXqADX1af+Ue0m7mhZSbTSOUOy3o7D1mseClT0APTBKh/v9l+NQX/X0Hgz0ZwQH
xvB7Z/PPj/+4MT38/X0+6p9fPg+0/fPT6R+TcD/81f7JPLf8/csfPfdn/9wL3v65X/vcE/3qw/Zl
g/Y7LdhPg3XfWfyqP/vVNNMfYwm/92czaIl/vzv71QzVn7//1JKtyOsyy6B9iooSgluFqz9aspi+
hiI4NF5TVEGjIi2gWfu5J1sQaLwSjCoMIytFgaryz54sfk0wzHJVlOSkzHAF8xN/XO0r/UEr+hs9
Wdjni4ZskmclKWEsoIJ28JeNWN9EiKUCLLrNNhU69xPMsvx5//9g3+f3fdHgrXIxYQ8pyDYAqLVs
XZflbZvj+Gks79NU3n+wPWjly+0lSbpljppsW2edu5rxmvIbHlfz8cfHf+5D/7NP/U+xwGzKl/tX
/drRsWvwFtzNr5dD1lcpawsJ1CEt0z5nZWFDs/vxy76nA1D/ly/zoHs5c4230Re0YBT6j46ZBdO7
H+//ddP9n5dJv96fVDYdZLXg7ZgN5WmWzWV/PUMkxCcLDTruE7Jix/rFDjBF8xPKp2DpX15ooNAE
BPaGt9Nz+npk2rEZobA4tmL74xc8b/QN9VCYdPzyBVSscxrGAm3nzpP5CEOGlNfQ2cqhFdq1Mj/N
xm7sauutXggk+GVmd9DgnNzBj9+fPYvuWwd4FvUX5j2QHliaX9B2hKwbgDine1JkH4eusHPHLJ+n
HtghSU6gMJ912zE3hmpIh2jewwjfz8j4xQSF4ks/KTSDCGgOaY4zHwmaxV/c7zsWSV+gggFPnSH3
QNtl8eRdahbDmmmU5z939BfYoCDLw74ArtIVQjylMEp9ohPRjfXPbf8CG0wCnQXbIrRVgUy32WxL
FpuV/Bzy0BfI4NQshyG3aBtMsq7bNCaT2+DBGPKTx3+BBnnkGV2UBDQw5SjrBeNYMmvBlTY/ls93
sA2/cJ6+mmYkR072PUxKNFek7y1U5uxapUfQBqrIJcz7FPjwxy/7niW9wJ5cQsnU+CHZawNVggsv
fBtu+xCSjz+1P3kBNdBNGNMZ2NR+NVDjWngJox1RdN79hTaeLf4bjk5eCKsyUKca86XZm4Su/W52
2QDl8XkBgmlFW1Y/+ZoXeFKUMCMxDwmUjwIw7gONjU63q85U3A4CWtI/59fkBWhYM9mmiD3dD3m3
3nRuac81wdXNj3XxPVm9QI25ixSyZ1Tt8yQK6CE4UpzwcjH2bYdoF/9CVN+xKPL8/RfQC5UOaBuR
ge6dKpfDBMYPziueOcV+fInvbV98vb2BBkEKwsH7kVgo1kP5uHyPVzNsf277F/AxTgTa2zAbt58U
aCAo3m/LMSHDT57+BXiMotCLWiTdl37qQAcLhRElyJfE+pMveOHPXZUgW0WQPvQHrT6ERqWet06S
db74KQE9s+Qv1UtyKH1nScT7yrfillDvL6DfCj3Pn9v+haORBUZH0hSR/QAlYXEQoMpYsRY6WenP
uRh+4WJRLNCHyR3Zd57DXIPv84kymNJwfxWbn5HnG4iEX3jZwiVP+xlUbBuoT2wkLwi56JN1wkcc
Cm7dNvJ80e9guqy4GzWf9V8g+fc4D37heAraacSsM0Chomo4ahPfEGD2XQW0joZZloFpKLJMNVRF
hn7XxZWTDS7nwlxPacDjTwr4hYNCyS0htINRrp4k46aAzuCeElX8hX1kz57yLfHmX9sfmkIUNrfV
vkhXZ7YrDFFB57FZV3UwVAVZzrnvzcchKef+oFypRmexKHJ9mhNK5Tva5Qj9xVG+g0T4hS9TLdFg
ZlHuB9L4osZr9TTEONufw1H8wpOVK3C2REn2LhnmPQ9ZCQXIgvLH/8vZlzXZbXJd/yJVSYCQdKsz
qAd3e2rHdm4o20mEhJDQgAZ+/btO6ruweez4K27jFIdGbNjsvYagQEu9OLYoEOct4J0oDO755xS3
2zP63DrsGE1vwfHdJTDSum+jKCuqtMNL5mSTXLvSNtMx/2aX/SLKUu+cmJvxSMk+5dVybILc52ya
gPYyCSJOEhkPwElZo0viuKm/Ge1mEvZZfGQ03foOmwiVRJ4Dq1iakaDHcVgWBZ7gqXd+OObUaIG7
udgxTS4cRcCz40N0Dvvs3iHBARzr23F31YxaeeV6VNL4ZNrfnEG/CInUi32gymW0I1WtWtLoEwHe
7CyOgQRuKi/08eoZ8qQZXEXwbixjmXzsa/a7RPJXU/eiOeGmZ3tXu6pG9/DJHn2M63mUSRu4b7xw
lq1dDJ3Q4YuELu7JuquzoDmrgj4r86KZmjU1i7r1DwUBfpJmcznrpAmbO/OiOe+Jy9cMnzW6NZkV
teg8qIyFnaPMC+U2jqZ4E7MDwKnprnPR16c1Ze763ytzC5uf3BfMu+97kUoUhqOt2qL0bzw71Xpl
izJ9taCXFfgXeCFL0ZrsWyW2iiJw3xWoll8SQDvCnuPMC9mlRyq0Ob5VA3h193mR2nN79IHHDfNC
Nll0J3LXokE0d+yx6XT2hJ514NS9iMVFLZRK6FKNQyuS05SidZCh7S3P//1xfxG0zAvaVNSzihzK
PKZv9ge13DgWQnSBQeWFLOqj0ZrYdrlOtt7m93SL8+51OuVchu0b6kUtuiDrCNTOjpTQupMy6eej
OPrfbPxfrA31gjYFtAMUI7FeRjRnSwpoUzkWhQ2cuhe01LSMiDZfsfLR54kgv+uLXYR9VurFrDJu
iqKZ/7+pMzRgy3QFtCho01A/WtNc2Fwm66UA1Li8tXfLOXxhbp/ju8xHxasR3YzR97aQJ5srW6Jj
1gbO3YtWydJ8AKMMozPy99iw7lo3dWBlixJv6hBUAJ0DgxfOgrGTFRNeXnwPyw1uTZTvF2YHskV0
h1ov6SI2MEpWgq6eWMKuKOrFqpaG9AON7aVf0dXfZPO3bV0SturEi9PZTYsZ5GYvWklWcpZ+jsBE
CRzci9NYpKAvAE93yca4P8978wVYiTlwcC9Mx7nYW2TC9tLyQpa8BYjBTqCVBEUS8eI0oy1wo1GB
qRc2eZrRHnkjsroLa1HdmJA/bBjLSM8wcuWAL5pB8Mh5eo6WCOCbsOl7oUrGvdDW1Gt1MA3gJSB2
aWU2snwLG96L1aQRZBp2jZtVzN1D0c7JeVbtcQkbnfy4OnYShgJebauloH8mLXk7M/o2bGg/Uuej
1ccRLVUjo2ccj58PAiZY2NhenBZNo7Okz5aq3WR+tjJ9GZQYwj5o4sVpr+ZoKnJrq6hZGpDlslcZ
GeOwmSdenKItvJl5z6NL3+1/NUfykaT6MWhREi9Kc7CWItzXR4Vh56V0ZJZArM20Djt6Ey9O1zq1
UrFpqaCAEX9iC84BcBxdEpZpJF6g2rEjcScGWwFc5s7Dnn2VYIwFLrsXpCJvxmxtJlulx3SctDaY
uvpd5/U2yE8eBzfwwPdHTAGKXGMivVRgYBdP+VwnT10kzMewz+qFKFnIMi1Tg+0ohQQFePuU5U3g
J/Vi1LGhaIVUtprSlZZJvn/uxvxN2Ly9GGUb27eGYuyonV+YPZ7AxHwKGjr2InTYhKgXWi+XWEQA
wrfiVePiwPpA7EVokhiTuYhEFwhavNZH9jmfji7saIm9EI0k8vQJ4Oyqk/3boR6uQsuwkzz2opOZ
7aA7auqXwa1300YeWRp2g8ZeYJojXfhg8Lbjun6VD3sF4FJYmzX2wrLpll1ai0kbYMZWe2qzP8J2
iBeSXdFOxil8RCbV12kv3uaOh51TsRePdlzVfmx8qY65TV7csYAwbul8Dpu4F5G0FzuonMVSzRGg
BKRXd4UoPoWN7UWk6po5hZREdEkbZLdRzL+wAjIJIYNDfefHQxAbexw7cLsr2fC9TGcWnYsiW4MC
h91Er74/YvN5zRYGIhzw7O+n4Zyjih02bS8iZQ043ygh5mBzgDkAxzZlMvKXsMG9mNzQfz+OXsyX
RBoQhdDbH2m7BO0U5mO6JmtjFXUYPO/SN9Sabw0DkDps4l5cFiw94jEH+XjS9E2KsXe7ho7thWay
NRmle4KyMaHxK5vX7cPIdh64Kl50ypmtHfJZbJTU8dLFoJhyGZRgscKLzb2wbFMFIh8M0wUEOyb4
cAZgN2mCjhZWeAFqNs0EejVLVTPzJdrWj2g+fAj6oj5Ya6U0njjFulhbp+fRKjAtcpIF5REoCP0Y
npNcM9Sjd0x839/YIX7YgX4N24u5F6GtzmIQGukM3Dd96gA4vORZRsJWPPci1NYTMJd2XarYdG9Z
1J3aSQYlKcxHV01p1B811XMFNDU5gSY7nRLW/hP2Ob0APdBRmHMNYsN6Y/jP+0OTpe/Dhvbic58W
ARB1NFXgt29lN2TjtQfVKyhNYT6waki3vlgB36nQQnLn3g3PGSgwgVvFC1BryKxksk0V2IS6K2c7
RY/RGh/vwlbGC88tojgVmcUXXY+/ZmRw+5x/DRraBzgtuHik4cNcKV6/2425j7UO24c+tmkVueJt
x6bKraO8rFtNzlHXfwubtxecDfhr87SruSqkOSl2PGswHP976Ft6+b+vKuajmLYI9eDVZFMl9Zra
csp4+zRyA1mMlkDo479/5BYvP/sRL7dNVb/3akinqmvon51kHyOjXsKG9kJ0B+Kx45mYEP/rfLfO
U1ImKwtr1bHMi9KayLSZKMHEWfJRr1EPion5I2zm5MfTXO6g7E+xnKuUNGy7OGoPBvJIJ9U57Ae8
OGWyrnObd9iSe/S20eSlGcPe4izzYrRr0hEPZgwtjuLtEjevBeVBbSjmY5ZArhF6XI+pokKTKsrJ
8jaBBlMQ0pf5eE0CXiIo4tiJInbQ+wK/jrJAwBgE4378onoX0bJDB6mCCgukQ9bsOm51WHUYrIcf
B18mZi2DgFCF4/FxPchjl+5hMeSjoIqt7mw71lOViboHbfh4LKCPFHZb+EinArsk3okCLXJY39Bk
BMNtCZy3F51Tg+4E36Kxmnn+sUmmt50agx5xjHvBKXamVW3aqeJYmbIACB0yODoPOw99NNJC2zFq
QV9C30aOp4motzYqwlJQH4oUx3hn9Wk8VnVDQQqHLM96sRDFCFsYH4rUgq/s1vZA3BSHBm+f83dd
E7uwL+pDkdY25QJYu7FyxUROycyecZOGdc+ZD0OyUZ8PEBjEdhkKFoPlnx9qliVYoeo3lyn7+T3n
440Az42LGiJ2VV2DKnjqUTyrhACXOCyt8+FGh7I2n7QAOTOa1XhaN6P/sUW2BT4a09vf9V0/NNEk
ZlsRmWoCkfGsa96WWKH0GnQf+YCjLNv3PF5jU1lwbk8xB64c/L/A8zH1InbpgMCbaW+qmWXQFUsc
UZAG2vs67BxLvdt0B6NwAvvVVJBmGcAR1h/2Lgm781L/OiXDpqPMYt1BHr2D3OV83bpB3gWtu483
WulKD9NtpmpF6j7Gg6jvILFtVNjC+IAjinMyBQ/bVEUvxvma2ZyyMhUDHwN/wLtW0YxTQ29WrDyd
t/tpyj/IsQurzTMfcpQpTYAxnkyVseV9U89vIUTzPmzdvay3Bieddl09Vllf/NkPWwLZOvY7bO0v
jhofaDSiZJ5HVpuKTm3+Z4amwp1Veg3cMt7NusTRfjiaDhUitYC2JWRSoyPKwo4x5oXqdETo0XcY
PV0PCzEp86D636GY/k1Bf/LW8GFGY7MDXpeToVq5qgVou32LwyZrdoiy6qJWd9oc23ur5+6ezjTi
1SLlmL6A4paNb1D/m6f3RQYFJ4W+5HDXgsfPy6xrUIyv9zEH492xdpw+bCOJ7CmGYqz6MkgJLj5H
YknOSYpa+yW7aXmduwRVshNHl3q/hwZr3lYk2yW7F0MLcTAI12XppwjI3uOa0HbOzjTbMebWNYu7
1mMhZ7DtiLNXTcjuzvOqKQRiMsbEm4XxqP06J+k4VrmDyFg1QWJJnc3iwFqP1zQ/9RmBZBg/ILB5
VydDXbzieQ9eWDw68p7kxVauhE/3UDSbXBUPRX5cN92tDLI3rE4va7YxlLA7CW2XujMaPPy1KI5T
PjUQOdFDMyWPWy/a4r6jycIq6HfVG7Ta1HrvXKSfp36N2ZnFK5ToWjEJ975L2iELy0KYd2DqnVkO
LYmh4qkcUPWJSig9FWHnjY/0okwcSCQ7U0mu/xZMvRdZEzZvH+e1ohOzdwTzTq2o5qJ7EGkSVhyk
3imZrkCmQK7RQDoPep4igoxR0SVD4Jp4r48prilXaNpVNWnbclfjP7ydwpI+H+PVgt669qDjV/aw
5hkEreZuoIsOO8qol9NI3sQWsiRzVU+KvWLIX4H8t8vnoDOeegflpOt1Xc06VCqH+h30SRyK+X2+
BC67d1KOPbRIBmh6VAWKymVK2lfSQQonbO5eRhMjhFOWm6E6BiP0eYi3ttrHuAl85fgwr6RvEhdR
7Ehe63S/ECgJOYhapdBJDfoDfKjXosdNQMVwqNCo+mczDOqXcxijg5H8x1TY2G1axyMbKgnpCEib
zNkOcdqiJf+Ezd0L1zUdHV0tMVU3QmGszIaRoseeExKGxWA+3mszfZdAmAcJAkyUSptt7aVpmsAE
wcd7mWwTratxhaNHM52AKOMnE21xFbY4XsxuMajSadMPILpCG5HTNYXA9jhBdztsfC9q57avAWQa
cAz3NnuQPY3/xJv2CCsFEy9os12PDnrBeKUdYr8XTNgqi5cscNN7UUtoZ4vmdju1ja5P8wbtQQux
ubADh3gXazIlO4Tv86GKjp7+LYE2/9tpq8OQn8wHfaWE9i0UZUyV8myN7lXRJ9BH3rb0N73DX/Dq
mA/8At1UCN7lfeU6iBK+GAXhvJPIemLO2zxELyCcPUdR0bVnZHGqONUFHqNXGaXpEPb1fXwYeLo8
tlD1rTbI7+anSLcQoNCyN13YM9oHiPGYQvlwvJ1MYknEo4ZQflYd47HEYdHhQ8RcbCcwXklfwdqk
UeW+tRsrWwXV57BNlnjhzWcHsTeCHzgs9Aalsx+B3v8WFNo+SgzeEVCPs66voPs0n/aa/uOWNHTi
XmTXo0vmWWW6Qm577SCeTsgcVgL4l0L5XelFR1Fcb1AQqaCuPUMADZJTIJK8C1sUL6oX2U11sq19
JeyUXyzUnEoNQfmw/eLjxKCJNfTQReqrBo4fX3W70W9ThOsmaO4+UGyGAPfA+kRXyLWeodv72I31
n2FDe3dwvaPPyKehr+adyAfojOclfPC2sEvMh4ptCvrzq6K6oiof6rLN8/FBZraXgcvulRdYsQ+U
97GusrRvoZCe3ymWHGEh6kPGoBVc16Jo+qpgcns1T5qdsqVd3/73wt+m+JM3ekx/TK6KTR3rluB+
7xwbkfLHc11cujgZhgvHq64PyrGoj92B+ocQZpm6yk3ZVzzUn3QmP/73X3A7qv73L6A3KanvK6Vs
jdEaBB0LDMFBtOU42/XvjY5h0gO08BaoQa7cS9F3VQGlUFR35vxe89QGhRS9mYV9P/mBtHZ3EyYv
aok3fkJMCUmJsOOA+vidgrvsSGcUO5JtSY5z36D5e4LXSbuGvXR9aGB+cJFzWg9VbOliSnyH9nZi
xsUQlmLFXoqlo+bmetPgyEnJe7vE7+pEBC09i72TGJohSw6DpgFM7jQ9NxM6NA4ql0FRC+vKHz9s
jzMmUgB7XpJsEu9WyEi/72UaRlK7+Vb9sG06yJvbmMzd7WrN3xo4d1RLk+ZBi07/dbn67gI0KBrB
1ua25SWKTcOYv41Y3QQujFe+sMfSQ1266QD8gDLXCZzS8bPrYCIROL73WfN1E/A2kF2VQMTynNdx
DP3ZXLwLOmx8VNnBG1S4tjE610m9Dw9tnMTPhJjU/iag/q20/OQ084FlnFGyc25xmnFo+74ek6S3
d41ax+mKh5glV2jpceiApt0+vLpptEO6MWtH/ZkklF0tJ+4+YxGUgAsH2UkUHSM4F+g+3QlMDOAE
c3K1FO4rHMQae+1hJDScbNru36hm7HGF7O7D0UBOE9LMUEV10MCQZawb5l4kBKbbt+qmU/HSN7mZ
z3iwMYd/nbYT5Pdt/dwaOIWd8X/PzRMlYli/hS26lxwA1ziSGyH5UoukfV4LVbwiDanDLljqQ+KG
SKUDqqOqInv8N5yW3hZJ/SZs5l5igLfmoSO+qYo64Gw7wu6hzv87IY1bxPxsq3gXn7WRrt28q2o0
0Oq4n2bIcZ6LA6iH84YXQn3PC97JoOoa9Pp+PHESyANztqaqgqI1vzC1dVdnuvpD2DqRH0eXh7gJ
11NVrfCVOUfCfVxa8rt1ui32z9bJu0OSuG6smqyqeGeb90BVs9c5VKy/7G0S/aay+auf8A4d+Apl
NTGjusw7Vfwsl3Eam3KdUGy/bzYw2n7zqP7FJ/dRc4An1HblHdxdmkWpq033BOiwqLs02uXkBER3
WFWJ+iC6WqJ2IqYOi9aTCEA3/hEHUWBOlXkBHUFwBIWAXlUJ2nEL3a4LTX5zQP/iS/gguowCy+nA
wYUi9pgt90U3p9chL9D35/C0ioPQBTBD/HG/phibN00WQaYDQoLgutefijELo7ZSXwpsPoqxgZ9O
W2VZulyBuc5LIeG0FxRrPpBubVCKpDaRVcNydjXroc950QS942jmBXLMDQyM4LJwTtbmIRbQ6h14
4Jp7YQzrjm4eFgztHLuIYrzCAivofUh9DN0BIbRmLpQ4q4Y8QtH+ceRhVTzqY+gAK7wJ4TbibNpt
fGjhvlBFKX0f9Cl9CJ1IM7keFG6BKqnnizGwJzqKjl3DRveiNC7UJNI4aqqsmc0jUK8fxxoWRWGD
306473LMmmd1tBLbVN1Buqstlv4uHrswKCr1YXTRsaOfoqematp2PBsJh4dsmi9hU/fu3b2NRxgV
DAUcK6HMfyVk+2AmpcKKivC2/3Fl5FAsY8f64tyv47PqBhizDWGXuA+lO+S+17pGItUtkHCHS0x8
cl36m5P39uf/5Jr1kXQr0PkODD8E0bwOJVBjJ8OhKBy25t4F6yDSM6+LacBa0seprw0M08TUF2GA
NAhS/7johT7AuVBpAaLVTbU/78T0OOyqCeNBwkjxx/Et70WfjXAP0BsMkdRboAB+szL/lmp/su4+
lo5xWFHG/c1o+Ijo+hjDPgEEoxpani9QShqqJi0cLbNx1emFo7q2ncZFpSsUMg0/rqMt4vHiDBwv
vugsJWsFV9MmC6rAU+bdk12xULiepvOlyfbpmooFmsKRCuurUR94QzdCXaeW+UI3LYGyWF5Aqdx/
s66/2M4+gHCPRjjVkuX20puW+r6hcW4vclZzfw7a0j6CsIdNB88TmZ33SXKcrUdr+5NMeUK/hf2A
d05Ni7IOhsowKRmkueicbWdTsKAiOfURhMg2U2qotpfkJlm2pSNI5iwLgoZTH0BospXNYsHgq4Xs
dDezsRw6EgZPpD58kEkLIr/t7YW0iTlRlbQl6ntfwxbdO6jgeACLegrbuJVIXeZRBO7ZzuKwW9PH
D9aAycYsojClAygI7glT/dxldPkjaO4+fJBtxtCEw5A6KtCwYcrVl+ZIwxbGlytrpi0Z0ENeLpDX
JG96vauvMM3OwjI4HzvoUrmNi13nS99zeJvADazcmAgTbKG+2JfdRkhmZcd8ObLEwWFFTfD/CMxV
fAheqiyP6IipOw25lm05/oknGcYlpD4ED/6rehQwgrvUYM+ci03KEw61sOY9TLV+vNUcaBCwQ0Ni
lRnyddYUHnEkjF5NfeiX1Kg9DrDPvTTxBCdtQ8RFCMDo/nur/+KZ6KO/ukSNRA00v3LRpesbCXdT
fT046aYrXLJwC/73z/ziEvGRYGKlgiUt/oiU5NF5JTAQ7HcbhgSjvt6XkTCvXzhGr+u+OeeAgZ2K
4fgrbOre1a1axBTwjNPF7LC/bDRcEGctwm4PHwlWGAaXzDSdYGZn16uWOSkhYOzCrg8fCQY/Zs7d
tE2XRbrumszqg0vaNPCTEm/PS83cgFrPxeQyO8E9qj0BkhoG+0dX/8fRe3jOLVku4BClo+nUOvhm
UXOEKTeBAf3j6IKxbkpabuB6CItEl+rulEO5Piyh8TFgNjlQcp7q/Nq2vXtxsdn/aOP+d1Lyvwgl
HwUm6LbBbhpOiemUgI9yu7UNzO3Dsj3ivXXhcINy9VEUsFRF6XyNvg1d/xIUSD76SyUkEfDPyK7Q
+YIt+OqATlzkPn8KG96L06Qb6ODiqbimRvcA4LY7l6940vV5WKyS2wf57qVu5twiFTbFtZiTsi3I
QxcHpjPEe+pCiGtcDoKhNcP1d8ND9GGAROojv+DP0AiZjcXV3aSPFFzpT0zmW+B28cK0hQvb4o4B
noxK3PWTeRPzMDVB6sO+4hSgIqo1O3PAH9o+esX65m3QVvkfyBdkhOQEU7Ez4fAtrJjpwLuWm7Yf
wsb3Hrm9Sca2s0N2ZUOyQ0KdzezhRtX7nZ7gLRh/8tL18VxNpAzLN8Gv2kTz3SLWFZZsWVzXF/BU
M3Ffa7fJp8WJ/4/H9b/vvZ/9qFeoyg4i+rUdO7z99q2HbWzXdMRclELUdVcpdngYj4OGXU3Z0xF3
+97CCj27HzrDpb7iYd0qXXZOrce9FHBU/0LpBthdHwPSqkrawkt+K5HkmPGV4kluntZZbAm/3yOW
jaqcXFdHsAKmRUPrcloyg0Ro4Ph0ZVqMQ/3FTFJbWD+qrNH31CnIPZ8PPOiz+nyM6wY74IO2+3tI
yG1rU6YKFj+Q+T6aHTbRCczuOIP9IaTh1V1iFIf0vUbNEh7W4BV0FhOcs6H/YIjGa6DN2vwfbTT+
82RHtp454L6w+sUKqdO6bqSp3GF3PiFHpnP/ZUDRNrPlPiVxspVpzmv5uW+YKuAqbmH0AyKnGyYN
N8mmPT7dQHp3xuljL3uIRsE1c2vmRJ0zECfFxaFlQ2CcKPb5JHLstOK08u1I9ZmsLo0fkxz25TAf
tE6DFzYOxx1cAvpTxs3Kn9rYNvk5bigcfmXGR2Rhuc7PuYYAbgnPRT72wG/CH7c+LwUezdkJFZK9
HjAzWC/CmZDwDLwROFoLliFtxFnCtX3A17o5uE45MruySKJOw46zJ3+Oi+bn7XAwtrSwN6RXA+N6
9ewmkvM/5Eiy7JkugtJXTsjc1ufOgaPCrsVmEygiOJ7Z7gkMjRzfyzSNweTq2BW1vcZQNUY2puPB
qbuD0337Oua6GerTsKIYDO/gNi9ekj3b5wNelwxOYnUe3WQgO9v1WwQWiwNoCwo6mV3t5cC3HIZ7
kqKQRu656nPYb3JVXLmS/Wng+6Zhj5oe0c3FejjW+TG2s7psE86oZz7Utn3Zd1L3ObbDAE9o2BjO
+wkm8YxAJVYe3RnvGpl/zhfaD4/F7lAEkmls96nczIJiflnkaUaQQS0LpfRUpJS2bxOVT/wKgRW1
P/ZkS1DVjhdoqzm0mZe1BncrPma+AMnJIbIWd/Yr6SJwZibYsJr3GVxG87MUc9p+xdsnh6EtIFPD
ep7bdJiflYXn9gvgWaO+tnBHJecC5uzpg0sjol4lEh6nf8HTfLBgzEzRwJ5HBK289EYe5N7A7XX8
KCOdxwTHm6p5WmaaFeY5XhaVfGWtEPkB9/dC19W2rWv6EE8NGz61Gz/SEzTvY7DR640mBaSdU959
E8tWq7pUo8q/ppSP5iPY5Q721U2Duws8j+F4Aqpvhi85GSL2bWjhhH2viTkOGPfGSXIyEpH0rWXY
5ne1Iu55KeDUHhOYDr/OJ5vxS5w3Rr4bldzdmw0EDxKhEw3dgBwOnwia+3lb+v4fhc6NfGz5SI9q
GNpOVCMpkunRjkVGTi2jjHzOOWHFX8mmxDMo5NED2kjuG6gtumy3tD7XEAiKznvj8u0BHhKru4N4
EP3UFQ0rzqYD0/Ftdsiuf05q0ST329DY4xKNst3vimOKeZXxXcUfYy6UeCfHojYncywRNBHbGG7v
ZaFhjfuwujmdnuArvcT31HDTfYBxhxhe27TI5DWWasjOy96uODu3NJ/kFfjpZHoai5V/66AJ0J8E
6m7ba7nHE44SOezbhafDMtXnGN2q9VG1EDi+itoa0GuibK1fZD4X7F4bYzjcPKOJf5WyaM2p7mF1
3pZ5nwg4YRNG9/u50/NyXjYSR+dl7klS9p3bzGe6FJjBOY3rBHKGO2bRwEX6ZvEdzf2lv0nylBC0
c+p53EBMu6Rm2v4k8bFx2KvVcIo8wQqCPyFdqv8WCOHs1HaS6BPXWzp8PEb4M0LgSGtInpVUOdfc
bwtYsi8H/OkmUcpxyXac985sw1C2C67prUTFe52/bXal6R+w4JhwISio1RTvOoxy+5BmsdMFJo7o
dF76jei0BPezT6uuSAp1WdeadkdZJ0vuHrd9rlG12OEsVdzF4kCOCCablPczXNai0k1NE73nqZrI
WTIOi9U5XpPinB3OtX9MsaPt3bq4raisHiJxHjcijlcU5l1v4mRum/eoIpNDlU3XLcUVqvH18lAo
vGCeD9SV8itTDe67RYgULreayf2VruNWnQY3JcuJmSmLwFuYZtFsYM+5OXm3xEqDjNGzZXnT7HFG
7mC+PLbPA5TumrFcDwYDHeiKl+M2Fck9/Fzn5XU6jxHcYhu4wb7iHZ2xx3qpO/kX7XKHnaAh2QYH
2Dpv1iv+sr29pFqx+QNXqxQPc9209B4kWt492YnAcwt+xnHHz7BKouJvB6lkaJrPsk3v5qGpa2Cb
wcDCHsmho/QAK93D3JlWU2CGCTDE8WU2cD0s1+XoyXv8Zv7Hmshl/7ODaDw46QWRAzuNkF+sTxHO
J3Hahdnft4TDIjwvDLguad8DrKrXKY9Oh7ELLOWmYdtBIFmz5ISGQi7fYLpp+nrfjrq5i3rC0Dlq
hIrsi9Zu6B8A3ZUOWVHv9m+4NeZeQSM1jpO3t04NjU9Ujpl7cnHB9IyT2B3iPm/x6SE0y2E49mrD
gTy+hvvFPN3HiyyWu33hRXq7uXcJTYAayzjP5VIgymPo1dXO1qex2Y7jLS32rihhZJbza8Y0zrdS
0a2dXsdLko9f3DQbBqfrZd3T+4PReH9m2P0S3uA7LGjwR9JBvFYoh23vcoVFfHCknfZzT2263OH+
j+BUvC5Er5fNZdlWI3laBoePOdXrdd1UpD9kybHoNyvWbH0YW+AHX7drI5sTa+Uwf9pNRtLPmsCI
XZdQCIt7g5WiXf1XD83U+A1U61nxZYDyivoT1syK4H0FQUR60i1pszudLfOB/E3GOcyXx8geuAph
Vw1/YKYgGcujdM3OM0QahgOw0Sz6ClX5g51iXOrtvbOjesks9vdFxVvHT83u0H/RWc8+pgS4iBM9
ctGe8BZlGRwRh8xWpMtSvpZ0j/X4bOQoQTlOIN95NUXbDU9Umy3qSg4G1pd2GJf9miYNW18nfTxB
fxd91uKF5f0mr2sHp5w3I5H0Uz7D5eU8M4FSQN5EC38+eiOyazy1G3mN/hPt33Uqm91j0vbjgAOT
ITYAiwdQLa8URFSnJ6G7wuynnLH6zQHkS3TaeaPXd7PbRhCiwXsl2wkyhkKdsiJpzGs1o8ZUSl13
44Ue4NV2V1DUkksuaN+fp1gQfIlGdskTs+bm5MrnW/KTA+0r61ORryk5azvGCQy13X58bPMOqkml
02AtvhiQ2/6Pui9Zshy3svwVWa7FLBAkQKCtpAXJN/vs4R7DhhaDB+cJA0Hw6/u8VHZXZphSqkrr
TZu0iXT3N5AEcO89U/Raaj7eqMGi4sqqsgmysIErnM+wuy9p4nhk3lML24Njyd2E8z5ZCcr0CALe
yaQ+igNzqvERyKMdB5NklPE5b31lh0O7Yql/ZES5ZU+TtguRTKJgeRbGdSTyqAOPNNVRuO0lDiNn
UsWKRt9ZUKfkkPW8T7qbFgHT98JfA1A3tUUXLURLdgIJNiuOUZQcudpibPuIsg7KU8sHZt7ZrgiX
p0HZMAPQMNNPvivckhWuio8o15Ca2UJFMwJ1S9XaVMfKTDDWiKGrxmEbZdtm5JSOCEPiuVGEHkvU
A+9dn0SXElZKfcplMyMCO6S8hGfrRBHjHjf8LFzpv8VQ/zS3FEunP2yN3uTtHFD1QBwsXtECReam
5IJuqJ3CWD0swQQmuVmTjENGfgtQBGJthJdGcCOHDPnWK0FfRheUu5Y2vE37fjWXpe3kfengoJ+3
eIwztlqX0aqoj3EcyxvLS38uw7X75MuleZaIPc9qwh87pvoX1shBIsd+0qCd2K5t53QltXQ6LVHt
+r1Hepw/8oWWrzxcp7NpvJA5Hmee9Zvd1v2gGnb2oC/GLy4QyXPZObAWcmqGJDgWfbK4Li3w5ArI
5H1FvtWm8OaFMc59utT9KkDlDBfn8/rqB3Dq/LrBNkWo0E9I1p1nTdHH1NHY5IhSD4PzEsZQY0NW
6shZVWEh7zQC281+gc6fvG68ozyTPl7MxcYTKz+hcu3nHTM0oMepnur4plmXDmGv5bB0qQsnJV4j
203kfo5sNO1g0+AHWBJoXp3GYJHdx6BClnCTMV+zOie6qUxqWY1SVBqb1JnqUKO4tIiCKOpSz7yt
v66CRfPNso7L9gWhVA7lEJLHGZ7uDmuLTWkDwVCzg4tOQQ9KdHXzuIbo/XfjEEf93iTYd3J0NGVy
mq/0u92c9DS6h6imYRfwZ6MwD+XK5CmEbGr9XkMf0N9bbcREMi/LpTrrWUeEXyPKBTDGraGdf0Rr
nFB0waBsbhetO419oRoSF95OPZbkc4tm1X1sWStP8QicKdK9Sz6GOmqDTz1QSrTJ68gQgoghdJXh
6UCxlBZ2we6ulV3zpS+VeM+h6TevwmFv/6D1LGmTs2QOcF4VAwuWZ+62BpnvAaVJlBpTqD6TRdTR
O72J1X+PIffvvqkaaradaJAk+OS7apUwHGCjekDGM2vX3bDA3fUg64CODxyrDDsiidQssD1Va4Jh
YTVA1nxsIlK5Y9RWLenzeFMoAdKOc17CBn5E/4GKr5kzv0zXWgQxLsY9Nkap0h1kW7bqtdPBuOzH
JjDypLW0DHdsk07lM+3W5VMrGbRIvGql/mRcOy/7qSR9kMnWhpd6LguezUCTzY1vmrjELUlqiAE1
puyZmhYE3aczh53Mq93gkguB9FzcjCWdD65YxdMcUW9QHbBtm+5913WpQlxnClFYaSPki4lm3Hsn
mM9KJJza0xZpNGiVtEmqjRuDKTXWOP2YhC6pvi+INhG7rSWkyrm7nqtpqZExcSxQZt/UsObCUxeF
fXQuGkSmXqbSj++lwEXII2PisEtJDd7Aq+62JkCV6klwWDc81wfUAWFyNjgCms/ORfUBLUAoP46w
OE+qjMmS1E/TwqoKltBhz2ub4iFjUSawq3p0cwGEc1tShfWdaBzZMoUF/9KGrN91Rc0HLLXCnkeC
CcYt5hURexDDytuzW5T8gknMB5QehnJEqnBQwEdkxNCngZbFJ/hZNHVe9tgU60a1t8YQVGYbDEbc
qUtElU2bR+AI+P/kWCcq6m5nE+nuVhVWX+w0jc1nBESbt2Butc5XG+A2xmvy2tr4Cu60Amf7GrtX
jlrC5OU2o1YHr8msaeeSfg+xsuRpM7kStQGgygVhd2LFvBY7ocZ8xzR3DnIEJDCK66QHwm/12qIY
SykDA/2EUbrUN9Es5uAhSkDiAykoGcrltPCyNB1uivVEQ9FdNPVuJZFokl0jeP1YzsiG34WQOczf
14W2SxZUmFx9glcDAmoVEzreDRX1FI9mTZ9VjX7k4IdGp7TBBjqli1VIsSuprb4K1mv6GjlbLZnv
dYhuJ4m7ZU2bRXTBx7oOiy/iWpocxQqV+Yvn05tpOxOj3JVziGK2j1t7lMgEEZnkqn8bGZZsKhDZ
kSEWhMS7Tsbil+FfG224CF7s4G9ZxGhlEKq+X2nikg9TGUjoj2tZYDIYyB7OSHqCRUGOoqR3Z8bH
8WvXrVGIfS6umuEVTm2yyaiqXHRsTOy/oXUut4vqaPHWV90mGfK//UJv+srF80tQEM7eQkRmsG9o
LStMRpqS3chRtdg7SOUzWoaze1CySCZIjYAtxSUvyUMdcI5pNkoPcmEOhqJ7uShO89VsJNotfNFL
2vV2fYYnchi/n5RcHoMg1u9FkYQvIFCY7TAWUIscgxGN8dr167LjsYCh79Ys03tc8/YyhC1obbxB
ADc8TuLxNFZSzhmbht6lU1C0H6DUXdOZQeUzTbHjF7VOwUPC3XrL5VaJ/VjAemHXMb8eZsRKHMKp
I6cYMcnY84ZIv1ayZP5+Kkeoh5cFfj8pm21hnp2FxesnGIigOdPexdUHjIajJOWLx3WgrmmwLcgo
jEZUHAn0x4KYl2rlKBIjjBLKElVGwwLYwyZbkCvQ4NmOiRJzE4d4deSUJGqrD3Qi0yvs15v2iYoR
IvAVCQxPNT5IGtVLONkM27Y3LlWYjUX3U1slcRZN+Dgv41i4cd/MRVNlNE4m9+XKdT2NQ9f3lzVJ
tg7v0Qb6qQ1j191HZeJQsPk62gsxBeMRFMrEPWIUPeywTQzDXjHW6JxWSxeCLodg2N3oCDYR+GOc
cS8wjigmNk5otx1Iy4v35kkHVbNkA7Nhdw6Cpd8OsB/bvgUMsUlph2jIS7mNK5ZPIXA5Wkd2rYxt
Ns/GnaMxRMFZ1cPFTxV7Ant5hkIA/o6Yc8CoIYqT4kOwgU6+F1DI+BfMmdYFB5Em4TcjVEkTZOC0
G8YDurPTcBqAUNSfqm3WfYY7BcG7aCtU5tgxu6XPqrmY4F8O8yJ5C4s0kWTS8cme1jGexSFBLDei
UYuFizoNGGwP905G10UYNEtZIl1xRseEzafNm01LdzIQZciUjqvpsIyBd71ZnJ3FaVKGlPkCR20C
JmZP4/B1jFGh5YuTqsqSeOHQ+hju29eaw6YmJ/Cbrz90GGjEaT/Yqnoh64bdowwCHp55EvYs6yXt
aD5iGrZk47BgtJVCBLWWeQMVGrmPp1mJRwSC1Evq4QI97awv2Jh6usWoYOQUmq+BQqpCyiD1kI/I
slmSQ+Unl3zl+FLuvUaBym+YDrski7ukpQ9d6QhMkyc0BVWt+/7JQ8Df7mmjSe9TBrH9ggFmNWwl
GnWDkQMe6hVFIWLTixlZ11IXt9VI6u0UxmQdbuWEOW3Kp8jBL32q1BthUV3d0a0YQO4pSDscrVgC
+gCBXcKxplS0OeA/g5/2yG90ag+62NRnQFWY/TK4XgcISNyMOAUdxikfSNdf7xBH45OHSk4NVIto
wPo7i/lhm0FfYbRN4cUS0gvhlKG5ZCYYjjV4FssXR73UecF5YQ4O+7XLFZumdtdFkZhzikQa06az
6n21RzfYyUsRw34N5MvuGg+GtLQxb6parufCkERk0ImUkuVwYiBYUHXRA88GFDqWZ76s0YaaxUzx
EUOCEWj9jNouxRw2bFMoC7cmn/EYdPt4teH8ltSs7QL0DmFsIuTdwsTk+9T2HfRcLRAyg8O0R50Y
Z0Gn5IHTifr11IYiEq/wjO7NjUNrv0744nXcxKhB1mi8Z0ndre8DfBsZpFVootHur27WaEgXsS3x
nb120JciGNsVxRf4sjCY8kVZ3vs+1GhWlI04FnjcYmaVZMBaGLpVons5fK09umsQ5HzSkzdllmBG
MZAwNEyjgdx2QVrNqM5ajlbcM2weJUpF0Wzf2gpoxKemcWO7j8t4CByu7hQNyGLmqn6MUe5jLVOZ
xGw/oTSa36opZk6kJpRwa3ZJbMW7EPO5GvEvmP+bL1LFtn2dAjsGD2MJwOdxuTaqcCzwoqNZsszw
NYZsblLdqeqBe+EhiadorxI0PnyHHEU7X6AALJnLNmBIIzrdWiV1khPGjbi4CUjSDaprwW9QFsX6
eeiaVp2TMnLjKbDISv8UEVKQjF9rtr0d+8CmXUJdcDMSuFM9BlbbGnscbOgzicp42HnbC3VXawOh
S89IsrzbOvACM0E0QJ466gZYzKgyMF8F11PxLnIam/+AfINm2c7BhvhulKzwNexObiojj3oKEddZ
mKzGHv04yOioMGV3h67lG3nFVJGxc90CCcwm0oMAsIPwlCiR49ncMNu6TtSC/awotVnE+yZIseZu
+aR9DKyRwR5jT0JQq+d9HYTAe/gAiMenHSLWROrndWK5qhIWH81q5Xac4jUgAyzdqLMSM70SWWmj
lWFzw0Kl9SvTcFV/S8rY9jcobOtk37HKymfnAM3kXSmaEupEENIe6mHo+KUou6F9dgIX5uKpaPWZ
WETq3C74rBSJ5n5jD41N+vK8Nkq2L2j06mLJiEW1POfNKHqMrWN4tNUks1jMU5DB+4P7KQcOmAi5
b0EHvFoYJx/hYEh0mEkJA8x+1wMK0vaEAkzhwpqkmdQDzukBg2eQcQCloXaT/jnCZYe4SrKq3V6A
nhTrfsFK3sttS27QRPPgQoNCorDjBO519ArjCXogDefToW2Smd1s3QiJbkj9aD662kqYVrQW1iF7
U06rr9LQcZYA46QgXZFZiyXjGGzoT/0Cy/qHEbYLmu6vVq8hZhorQ7i7UJtcmkz2zrW579U1Uc5o
fsdUEQ+nGOJyd5yHyUZ5ufhpuKEaPjUYkRLgraNXid3XGOKHaaDDMNgDozR13olSou2cZj2hQor6
Ovq8JkiRvxRb2axPsGSIDWbvVaG2b9HAovLL1I6kO5EIUscTwdR3voW8XJl3HSypUdsMLF5vwjjQ
/rufWTPdeF8GGgO+lYpskyhHUsyXLbCVWmuQ/WYT31rSa5cZj+DQk8JHaHK7Udpm4MZzYOZxfOWo
LmIvQQ++6xYkA78Q15b6VpktHM4JYu+2691OCmgdpPFIhtdJ3HzBmC+I8oaJYNIwa0U/k+kBT3u/
Q2Xd4oDERnpt852a3L0M1BJlPghChcUiZgW5xMSuV1BOGFehklBM3utk6QLo0uuk/mav5+O3xEJn
D3sDVp7mUfowJdjvuudIKWqw9krWzyadhIbQHyMmBEUlFalJHlEWgF4TlXNxR6vEuD22UXghLt1Q
L2+mWaf1ZtySnr1Xq+Uxmpe5sWfvk219L5J+Wu6vHo7RUfe2SHuY3cwpqtHyOiyf1gVnLgDMB+G9
TM66gtLgDkBJDw8G1MYbRltzi6kVQ3BlzMxnCFdnkUJYRN1u5VOLqZ2aqyfQJEJURAtCmZ8aMBtx
LiJjA96NchGFfE0mIkHXHgjwrOUwFGoeTVpD7xenowCPIMqAfSv7hkFSieEtBjbEfMa0YquDlBuU
r03KsMsazBC7EWqPFCb16Dv3K+ShCAca1phXH6Gw9lal1iHEZj70i2F1k7kZ/uGoQwlfWZirqAKV
I/+rVgb2vAETByBVkckIGEE6DYSZiwxGydFLhL8OLouryukkq+vst0T7vU7XPTMu7keq1Q7Tgs2C
qRwUwemvhV3J6nXcHWHUva454c1o081X7B6A1WBzXkD8/ecYTD86C3EfD/046G5H5IcmfseXP8dQ
/9FQiHXRArgGrxvVTwJDi5r9SQnNj3ZCI9waZVEnyR7HJMEQSS7kVmO31v9Gw/sHhlWADH5PdMMo
jBow0oBMBFh/czXW5tK7YIQHolYTBk50aRALkMiZPqwao1s0WE1AsjFYcZ/+NYXqyir6Z2yjH4hl
JSCatQ5Ush+RZtrlNZQhtyAPzhnqNcCPwOLEv3Ea+CMy1Q9cUDVrPGrgFO9hCDAnz8aPhc2nEnVu
7nAywZ0UjiQdqtLVD//mCv8BhfNHd6IG/DCcJpTtuUAmh4HtzG7GrPnffKE/evUf2GcTEv10UkkG
5kj/pVXhqxNT8W/o4n/02j/QQ1Gmz/1UFmzvEfuRVsqfattFf/LFf2CYmTA0w2g522MGvQOQWqdF
iMnjv36g/uiT/0APLdalNkzWfF+SQONMX4o0rHD6/7lXv77rb7ihtJ0isINwXejWw5vXSKRMbuPz
v37xP3hCf7Qm4irs3bQ2eFyqRNJvGjMllxHuKXKFBO2ndLJb1R+hFGLTn4rni370s6lE6RLYCLE9
4lDZ+3hW+q4JMV7911/ol831n6zuH91sksZHGAuV8b4XssIEWg7eAVzB/958aPhrjMob/2WIw4Ef
6ql512z1uxBPGjsWurYVepWy2iGd8du6RIhuTk2Ckuwfn+4/vq7/q3wbH/7xOfTf/xP//jpOaPbL
yvzwz7+/G3v8/z+vf/N/f+f3f/H3w9t497l/0z/+0u/+Bq/76/vmn83n3/1jh7rc+Ef7pvzTm7ad
+eX18Qmvv/nf/eFf3n55lXd+evvbT5+/9fWQo+lR9Vfz068/On37208hj6+uUP/x23f49cfXr/C3
ny5v6nP3+Z/8ydtnbf72U5L8DO8kIWVIhBAYpUAd6t5++Un8s0CPLAgPYZgY/2IEMCD0tMKb0p8T
IsJEIqoGkwhQ1376ix7t9UfiZxozEuL1KF4roQgQ+T8f7Xe3579u118G2z+M9WD0336iv+RI/Nfj
lMSJlJyFDAHmJObYsn9YhUBOA9e2Ybu76s443DRdasEQrbMKH+hmaIBkFsTSC4+28Uj6yJzGXrXg
/vdyuq3awLyPXUwqDNmr5gMH8YhlhAzjCXgweAdStCLBcWiGfYm+4B6FDg6hhXMkwSg2j1/jjdmL
xrmozpZwqzILYteyL5GUBCLEVvF2ZwJIVMELmZo1b2ICh4z+SoKYGIb6YoGFVC6iRrnUdFE1p35Z
1+HigjZ5IQCF2t0QgtDDNlJcNj0rexYV4e/nzdH30JKJd4Bo3P24makCu16j3BtICQRUcKAobaXR
ysCo8wwP7u1OD+Dwpl1AapMu8RAvZ6qKioDSWKjgzFGgP5PBWbZvW1mDvui3madtGUrEd6DPHvIY
NLrivkpwPO8Y/BJBk+xjjuit2XXuni99om8ojzFwoUWsumwa2zhJKwxUgG0kpSJZ3fTTd5C8xhtq
YW+1I7B6uBk9pjvHsdJRnHFwuSpYDjb+2W20j9KiBTC+N2btTAYb4kbmSIbA1A0NR/u1DYClnzx2
CdB+NfwGrmN38YHUurlv0TQecWfidwScm6MvCn9XjF4+UDgQonpGaOi6w6B0fKFRBF7P1iA4Bx7B
qj1PCoVxFi9qfSVTmzy2M+FfCXDoeme5ZX2KiT0ujSjFhhTJhnc7yzR9P9vavhcl5oeITYhBWxSk
JzaLk2S+NL0dnuPq2qA0gKwxiDdh4E7xagAeFD2aiUrgHXJmyNLvrI2ipwbMzSPcNupH3cdmTBeo
V76GpAKtAdwUD5qupO6u6ZbqIkFGy0sASm/xUOkyLTamyqxY5IpLUGwAa5eg8fnMalrk8OAN8Xsh
/zQnNrJpj3a+zRwaxhWMuniK947QjR39GmwFYMS6IDnaom3JQZtFkw+5tQKWyvVZi21t83hCngna
uKlmKZmU/c7DbQXPfmNDgYH2FMmsn1q3pFTMdl+EsWj2BEyfxx6zoRRsztbt2xVfLHWVVGHqMc6s
AS8ZdTN3vP1mawBwJ9Gj2oQRklU575px4OgcKgF6Ayy6n6UEw1kj8gGNDpB7APmpjlXzOm0SGlEQ
ywarXILxG5fTBfRQiceRHzsPN+Ij0aR5BdWWHOLBb7sEfk83GFxgWFJhgjCvtJihqXSJu/VyMOFj
qOrxVbkIrZmOjiFbnM0kDOCacyz74bmsmp3ptF8QcxFq0FUVnhQ0YOyWWAEM2YiBOLxBBDdnBBrX
EyDKfruhS7jIrAXDzZ7B8279Kzyx5yCbvV9ImUb+Oh1bQJhTaBiXBrVG37T1lwIM0idnB/6l7dw8
5Zh2ztXJeTDS7muQZ2DvjyVj95JNnOROlGvgUwlluoBBEsgZQDys326DIGhejQcUks6RYXZv19g7
NI0VtckxMB7bfFqAzRykJQZhexHM8+dxnS4DDPYgUmzzFdh0SrCSMkwDYdLIGL5t+lc2SU/sZOdd
26/Tg6YIX0TkcvuPhuv/9bF9W39Vox6/mx/P7d8d9f8fHe5RDKzvXx3uLwZ9/l8e1Odvb7r67Rn/
61/+44wXOMlJiBNUoAmXkv7mjE9+JjKClEzGFAmh4toX/nrGR+TnOGScCjRKIGKwq0j11zOeRj+D
jUbwl1LGgC44/Z+c8b8vgRO4M4MfgGw3zglFWESEj/DbOtsMBsCwZcsBBm0Yc1rl74cRQj7YoNfq
SyC39uKIhJ3eby7Ur6XGb0sLFErX/uC3tQWm4jEPQ9Dw8cU5SLa/f2erQV3FOHA5AP8o9kjgY9Pn
ngLGTQE7xiAITWFbgWjk7IcOYMq2W+NxajORQHScFUDy+IF0AFMyDfLAx2IucPD6EGcwDFJLgwyL
aM4IRtRV1vaFtkdHw0Flsw2B78G1MoICYhT+S+TmNDIQ1hywvpKPfdyvn/1I5WtPGiSKE7osj15f
EdfW8PoCXALwMPq/qcmWkNoPQ5zUICuyBZqP/hLXYw38BsyQjWd6G74gBAxgTLTk2xiOuS7GrwuU
kjBbdc2jRBzJe7lx5GwVQXOj+im8+jTEAJ+CkhcvwQJi0m4rg/HkBV2xQfu3BHKPAyqtfbE09GTo
2uTOVQ+issl+WfsNU4SxzYJweK1BY8zQ5ih8W/q8iCDBsUyffA/RB2s6TPH6EZ4WMorvh8nlAjBk
hhhhkO3B286cmtnVxa8DwRcFFmq3BkAw/Twh8DItZXwhTOe6Ai2mjJCFV3R7DB8huym2GrscgCBQ
ojPNMGnQ1Qg2XKHdvQPEcYMNy5y2Ajtt0Wm7N6NFKgGAEpAsMZi3JUbcBrnGu1ZEUa5XwGGGlfZE
Mfveg6XITjFJwFwHZrkLlbXnguj6ELmKZqA1bZllAz22RYOzcCr7c9W3/CAZvJ3U5qEhciqAf0IM
GZcOy+40DEH8bQqX8ogZaJAnAQ/uAP0Pp3Cc6ye/dbrNwUOM8xI4Cej4awHyWdOQCHQ0AQ5oHosE
CgQAMBWovFGsP/uEtyAAbxHue11tycfSxuI28XX4ZVho/80kvkkygQlxlMIxxT6VY3tD1mDscohf
6ruGyvlk/HwBxTE499E0nSvI99/3giOou0QWO6Q2G+THO8VcvWVaVgFPCRk5aLglHx8Q79JhjI/M
EeCiYzvktKfsDnOXjWRrGHU3ne7DwwoSQn9og0o89yxQwL37mOQzHza6Y0FoCDhBXNwSzCQdKlC/
PFIcVMDFKl+ey3LaMHklACVAeQN3vqAogOckApg4o8t9Ai+KgINSY1TM57K/gaCRAhOEfyYUNgLJ
VLCSejcqxOOmAnC3x8UEAQrncOyAnUF4cR/14/IqyxnlqkD22XMLfxmwPYNYuZ1grpzPHsazb+OM
6Rmm/eFri/IelIY+jL8P3BWQ24K/pVIQ6dGLY9TJgqcrv2zP5bxdMEJvWiBTVEXZMBPo7KKuqd5Z
Wg8o7OfgoiYS7iHKmKKMlXXyZFFuOXy+Xu+7LbgvwGnhZQtjguomXJrDRAI4ZPrrIH6h3XGpZHTP
Y9CfEHF7c/XTAxrJ2xtp4LS+hdDcUfA98x70o2MzzXcD3/QDQNhvVRvyVEG3lhWmK4+kSabbIUkA
esOneZ9AVLUv+6R+qMBROEDeIS5ggNId0lTGLyDkQhkAT8g7dDZlnfe+cDeFbtfvPbCiOAVkUl8k
9PAVHmBBi2wbPNyUlGfhl6Rx9bmjtrvIJLlfkx6CDkDxJsphEqr5G1jgECeC7QQKuBiCHusy+GD6
Es020MwBLewL0NNkr4fFPoKRQmZA9oXIMeReziiE3qZoxv6hxzjeV2oqcokKGxhZnDF4gQCYWEGo
dX1ZnwDR9g8BAQqAmCG4jBIoS5+SLm6jd0uwgQpOfGtOkFMsX03Q2zvtrrKxasRUa8VQALqkpcq8
GaGOaaIVnGmG7gu7RflFLKCWBAMTx0is+GIsIZDXO1yNldIXAcTywnAf0351eIUVD3Dp2ruliKEW
LIuj7SCJGXt2Nl2V3E6UV2cM1r7jdKrvhlEi4kPNZZNyPCn61EQtlA7F3JY7tW3EpzVI+UMe+Fl9
qwMPAhWIfeQm4YMuUlo0MBqqVNCsqWBLebtWy1Pty/a9qRUIAKgO30gV2gOIM/BvllgwBzYvYjlC
NNTEO2TTiDsYL/WvCe5TtqyhOoJfPXyzC48f9DoXX0BfDONnDTqYzcw2gC83GogWruxU1eQTqoMx
DcJS7dpJbbdALaKsseQLSDHjHhy07dDRcLmAPQlHoeFDsFoAUNCZ0xWOXG2U5G7hUXioe6vnFA0L
ZLlglJh3rqVxhZFjE98lOnHrznNF025x84MXw2MRAR2pLNxD9NQHD+CtFXcrLHDxomht4CBItKrz
EDOrnMIfDl4Upz5Mmp0TsbpAN5sFTIHq1NYlvkJ1i6n9N1Dhv4JYFp+cTlAqEIpxKqxms2Cd6TEI
ChBySwjJKO1uJtGtu80qdhAL1JxFieYNSlDcZKgWLg0rXxE2Ve7AE8IDUDhsz2UEsM8gNSHrg616
Qsntd2NT7wNXwCWTh3uDqIObasUoqQtMCBwK2NqKVisDR9fcgu4bpVeQOh1X5JR5PVNwQBFqPCWA
e3GH3A61YJQBkCH5sm4vRbfgQvYjHJY4Lmw3D8XtKBBDVOjpxbEqeCfHQR2NZPZaaiRpw5U5jJCg
HbADgfjEJugxWwWdnqVtzhByduRNBPFCIx904LF8wQ66X3HfoeLQJqNqWeNDAE/7Xbsm5UGJ1qcR
3FOx4OuYXVAu6I+1uN5UTMPZ3upaP/B6Ajk4NFqAPF24jzIh3VMCBt6FyK79DvienwIcOSe0YO59
M0GUZCmI2XtMPUaVgWQy5GVCiu8Q+9gjZ15kEJEhygPHbHEIFgH12ViH1QNYiDg523IhZ17G62Gl
TfQZOkLwvAld73tpWpcG0wCWaWEpP0MqCc7zsjT9GWzK+rmUIbsQsYTv/NwUbx1a9yWdBtEfQOWq
W2xMYXFqDGH/m70z245bSbLsr/QPIBccg8Px2ABi5hARHMUXLEoUMc8zvr53qLKyMu/q6up6r5c7
SSR1ScDd7Ng5245EO278ujl1N5GpJczn5o6cdLSM0a7SVbYrdEO8mpYiIoQeQV50mUlqGAhPQ1bq
I/kjl9UdY1wWZ6hN2rPBwu19EnfLKZ3T9RbQHt+ZVxZEIJeSCBvlA9GVstsa3eCWx17XMxcNyFyf
MzbW/B5SjA9BrbLs2pKyvLpxVeMVSWQcUNqyTI7SfpuGWfeqlkp/COOyPMah0HeLMTY5l59Dwojn
IHpPrMYKikLPTzin5+dxKqz9yJz2otFkU03K8Gx2lbrPhRKnvlTOu5ZPmc+QonpnZRqRO3xEso8e
WpXKO0NF2rppyApJnjOroHKP9c7nxBMeuOjkziLN62FNZIu8BtXLm8Jk9kEn0KkP3aznXk7fQDDY
DosHXIrxzs3LhvFpScHIio+r7DWg0zV/gpIk5AsS95h5iKTmcxhOZD1WDdDWmSuC+22InHHhABMy
KDpFBizHNuyuJVlXsyTQIq3mYcis1Hdy9zNNakHiG+hPosplx/hNbpumjr8oWvKNJmtSkdGaE4cb
GFLtCibrh7oZux+8tOtVczuqTXsmT4NnJFCabhBgVxmRPPLSsjCjczW3xsNEEnH+rOBuN5dlZp/P
E8TmiAxpvaYhnQgNnh+S4kedLNs59C1jxLLHHF5TnsSKtiNLll4La4qe4dom36uWGTt3kVG1WScr
2g2t3l3qxRA/BpbdPg/zZBCAaA33fVgjd92kSYJkUmjx1zzJ9Ege3/xsLEaRGJsSXEpTLecrHgbr
dwvp4xhN5M+9Ipmb69IKzooVODYFWyc41WwmVbsGH1bptZ05vEl+3J9Z6FgvtsQf9azQKnskwMYy
Nyvxq3LDPgPenyLFrW0uqfCVHS2M3IsIq2oyiCU51IKHMBgijawYGh9UnWKRwssz3l5rIZsYVNyH
p0qkWLmZVdYPUevEcTBppkGKp3awgJCDW7xqrG+mhcH8QSI23pUYDl9r1xg+DVoiv8GdeG1t65Jo
YxDNeRdAHlGnfokwmPAcerkr9c/UiaePqHTTgyRn8soCZO1d1JWtNpI4yw+ZLPNx7KdlO7qqejRW
U14ibFMRnsw53FtpvmmWOjtQUcd3s2HhYEHI3Q98Cz9HJxrv+kqTZyuu2y1bYHeir5zHhLHNsZeG
uGl/6bW0NOse9QgGgu32uvCbOlm8WTW4wp18CU9Vu7acOE54H8XqY4jiLwyv82Wo9bCENYA50DMx
23idHN3vQZGhutGnttiLcD9MRvzaKnd4Q1KNNrlW9m9pHkVBOEvzvhyy6pjkVnHJKus7smLdN+re
vTaUs+e8IAg3Qwv4TVR75QadjD3xZAkT0e2Pa4RnCxvk9Jqx4NLrtCx+6EI7PeMnNTc4lwghF6Lu
72Zs5UGr4VlgVVx8GREAArNOsPMS16vPAz3pz2YxrEtclD0ZV3fwOlW1j6M94Sl2mrdBn5MqmLGO
Ux4UkMdmFlr67bQY22zo189YkhlmtZXuZ7lJDQTo+x2nqnHPesrshNjpvidOE36ECWe+HVGnca2O
1yWqlo+EWuyh7KN1szL1ux9wXT31VHkkvbHJb1f8GEcwkfV9iCHnZew47526Gj6SpC034donnwsp
MlyULi21KEfnXjk0a4R9ebsSbhXM8omCXcqdoiZ79FNWOWHTzmCdx+l9aY7haw7O8mjXYfqqVTxX
HSAIOsGxDBQqblDEpjg7rm4cQ2ecAm0c8ud5qY17oAHlt0W0u4H1URrPJC/7B73gzkPsDc0vQiR0
WKQK2pMedYwb1jCN9hoPmtiYhPQEIaBseCPT2UcBJABAAXONiKvcWTxl9lI/O63RfaZajLbiZENT
BrPblGSL8vBz6vWc1ekR58upq1p5Xjn9Xte2zORdSj6d4DKqd7tNMxV+Rv1Ef2UPiflzlKV8rUB/
+JnjVJ/zJHC0h7rzVklEGrvoqzt209ApTZwd/IHSIoAhkW+T0bGuuGPERsjW3vOd7B5b0Y33UFDw
/xTDeBIjgPTOUOGGqHO+XwZz2a7Mq+46xYGBl61+bx092UZZoV3tPLP9lLSGJxy/54iv/LKqyq+K
gN38QHIitvcafjTyzO6yYN+JxGtJtxF7dTYn36SBcHO1+rJZUkRkRgNTFHtVuSxvGT1kAI2AxLWT
aKSN4TFQE1ghDbURd1axpQpo7xZ9jH8YbiKenbTkAWKdIn8GrauuS4XXCiEoKl+tovnuMmyqm8ZZ
SuLH4fJdUYMeYlvjGArZjcDwowrsUdN2ck5+ZhHCFvFalPjlM5/tJei5mv0JGIY/xal+K8ZeOWSq
49J2TyxnM3bRkGinKO0VP02CJoOb24FGDjUboCTEg7r2SWc9hmaIMTKyID2YmNWI5YfZwYbycJqs
Uh6wdPA4aIh+R9Z/4UnOY/N2TRXbrOqbwHVy5odux5umrad5WNR9Ei1xgOjR7oQb6j9jHp+ftcCF
6GVlVfDxeXOSsW7fg+cotyTj+ytwjfOyxmLH3Txds1ArSzy4JtNBzcZXquFkwlDWPtqG/njThH6A
fbBqDxuyMINMK9NHKrsCHxzn1X3sKIna1dlx5LEDMvKHlMbTc+bVQn9b+8Cc4/xVhzwuPZJn8kJp
kFskp7PwkYCT7vWTAzEItybYBDMJzE7XPRUuvJd56DJ2FEW47aEMl1x6VXuyWrRE3xqM8K2JGIHg
/+l+ML3XwbIMWefJ+M94ZbQvZjI0ZKIABVdNE55joZv3eq2VCGdu5ZwG13X2ZpWlRyNZulPd6/Up
sRJ1hdBVb8tJouQZpPDeb3jjR8S1rt/YZkdJg+su2zSjhh9gtep0E1nLL3dt1qBnvy52ZEP/0tYo
O4zhGj6xlzH0wMYY5P3r1fDkqrJtlA4RYQ19fXQ71LfYwBTuibRQ93PW15dVm4mQ4sLmlzSz3Mtq
Wj8JfTrH2q7TF2mD2OHwZo2nYTJvqxGvhMdL3T3SExgkuvD2Bro+UnM51t7suMx6trjAyZxp9wRM
GEN7Uf3Y4QmfKszWxS0fUccz+ch8vjihkfvNorQD++LrowaFBTtk2XwwDx0CLaoSeIMpM0m329Ou
7zJRNI+jXvXbNlOoiuvMRcq/2ofeUsVdPjvTFgpD7QRlnMLIIdvebywz5h2vRuQGyQrI3ZA1reDi
McYHQfTglYimIIRZguAZljT2UK7WiNwZcTEHyzB98pTUzxm5Bn2bwLZZgtUZ03KrYYGuTmMcG0iy
NThAbPsZDyQJKu2tTK3uqPQ4RXumiM78GP/6FR9fm5wqWPBPsbPeMhOuhti72tKegrRJhu/UIRez
DpP8AOMirwqWhtg6Za41mxSnb761TcLGODMZEXo568AHf3CVee2URYk8uYkxehlch7fBMtOfo6Yv
K0n2SbcOc9eG8rgi9T8z2iMNaIbTTiOe/DgPZhJ5kd10F4wp2FrJvKlzPSHEmaPF/pms/2GLpA5C
hZVW4Gn40Coz3tbLHOMzd0wGoEbxmnYpttRSzbj4ZWxsIK7kCCn9ge/CuoF6Mz9ITLIAJyq3eur7
EXdjuAAJdKR9VACRziarddogxbN1Fw0rVqW+MdUXqoG0wawYboYhltGBNoPFCkgntns05IYgZFTN
74mSXBBIqMs9THZnM8SXpHaGIYhK6T5nfVjeRUBQrEy2WQDjYL4PDW6CPUCOuvCSNe5/Yn3ocCYv
89B5c1WMo4fqbF9UbRKHqZkmukHiLOwW702U2mCs2OAdmASut1wjxGAst7+YBGneEM6nC+HjkiGj
yHdJaXW7vqvxg2akJMy6tzaJYj/rtkqMhUiSnT7ijiHSV01KfvQkt34ks8xPvSbGcwuUqEGCFLF1
asj96vwIcv4aK2E/gPBi50fvaOP7sva4lCTFNXylOd3pcTI/ziQbWrKIrPb0M74RF+BBq+ZHtRF9
hYCnBz+xhHiKQoReLyn04ikl+byZtZAGGnu3zXUKJUK6MY3UzI6ph7YS3bWJKv1qTGb5SNSnTL0l
TJof66ySB7niGvbGRsl7vdNuueqS/a57YJPiRcauQYTDlZFfNAmD7m5A//RUWjhHYH3hryQr1s/a
5eXZTDEFGxledgoH4xqXgSSTxB7RdszfeNpGkmR5wk2A6jk/dtCWf01afzvgeIlsFr2/OY5pHEzR
r/e6UbJVNgbPg4OPxCpytj90rv7VWUMbw37i5sO2rb1IxtAXyGXOcY7S5s6aeranm/HwDb0i2Uke
28ab2COCE6af59+SvHwAHy2gh8hhaEj2FxCFcI4253YwOlX+ZM3gnzQDR/eaLcNXmTZm7a8Yb3ck
C8t9SkyNGi0qmk9R6x3LjQanutIioX7XZfeSjaa6KKqzX2vtOE+QWPlLyznURWPzHrHPjRYvXBh3
JE6nHftMnzYD38Oncur6X9xAhfII7rnP2irM0GcrpJFsqi4+D1hUrlWV2UwPOFtYbkko5eRCsDoX
ppOfasEHgcPEf7BK5yznEjVBX4rhY0VWu13Io3GvBuz0oUNX4kXllF+zmPm+DxTJqJ/CsFovc8aI
Laa4udP1RF4YbpUH1grG186wa9/IZhtgXEOrYVXtpm0FuMB4Ch+LcZFHPix65O3Wfs5sgoQYUb3H
4ZhtRFLNn7TM6mFw1vW8zMVXI+ygyG5EmLhSvpG6y71k59JTMpnTrq2cyk9j92lJOmOTydzmZkS6
PPSdbqeeCVxnkxq6vMVjqCukw8uz1H1g5bzXXqt103akfWVCM6BwaEkRHnrK9g8nruQ51HW4V5Y5
t1eLgp5OILe10QPnBjRmhgGRjLZZsI8j6n5E2dziClK/CMsaGb6Xzn6MCSbeT7KyLjNyxkfpKMsm
9xxGxKQHxjfxwNM06dGeUzW8ecMUEDg0hawdjO+6DEl+diyiKH2QcVriI7u3IsgI2BY+GIfoNGhO
+WZGXFmAGShZYhTOTBhT4llMWypvEPUr89T+UPD93cRNX+3nmESP7pDKVYvO5gDdtC1u02hmaNX3
xYc0w+6e2eGwyeWivseu7G4urRwtWKgfOkmDFq9MDkuIEIh7HEKbQtZJmVuZ60AHY4BXO3VGh5RT
NFi+mOYg99b2Z21jxfLjvNcOITgsz0IjAVWIjnHfzzaHnOs09czm7/jJLpn54NabnlkpYH1V0zL/
TChbn5t5wLkvsxvMBiDhcAduRLGHwpznjyZjfulxKkSvSKSUJmtBj+eNKYfxOCiHOUzWm1w0WR/f
T5qu/8RyqYrNVIc9SsrCxbWUrjyElUOGuTc1UHRuOxNkMcfDYvcRN1cZVQcyU7WFidooYVeE+fLW
qMxgbhO7W4MEL85ObHQbIp9V6FchkZ6gd5L1HnsRpzfMsOzouHiKopnoEkmaxfkFUgNLkdSZ+HnZ
XHFbGUkdap5wF/uhLhJsSAhtWc9jzi1GMFSmIyn/Aa6GO898mSyzIsyjVYUDSVriJR9b5ihGmZ3m
0ZkBHIaadkBkL5zAbrvbf4CQAotkSIwXZrawOiYGooCOS9v+AoBYPtRMUC9cXtQuYEgGL7S52g+9
XtxQjcY6v6M3G5s2S1nxfOuuCtWv2yFyZzhczAc30x+vTJLr9woW3VdmVbdLLHe3pLRJvlpiGMOt
jYuArJtbnNZCF8e5bOYHXDSjj20fkbyISa0SN9tg1xS8WSNkyHS6kKM4m3E30V137wNFOMiVMj8o
rdQ28Pm6gPzQ+FvUdkoIqE3Y3MfpHK2LChxHL++0sTZwjPFPa2r3ZKaGTn/XtSZ5gG2W3WftZGyq
XgeC08wj3kbT7t/joV4v7TiWd1XWYMCKhbaxjLA45MLRf+X1CIGxVu1dwRKGx5AQJzkfNoIFQz6t
v7rIjPeYC51Du1bTnnodmbgiSfg/3qD/T+OvcYPE/j+Mv59tid04+4v3989H/d37q/5m2xzNuivd
f7P//JP3F2iZrdtMSnWbLAu223/3/qq/WTZbV9AV+FScK/zS331BQvzNxsHjuvyKxT+ws+m/4f3F
X/Qv7hxpk3KGDGVKl89k/nUdpexspNWedCSJSHLCyyOYiW+hyu1IAF0L+8tYZd+N1f9XeHL8EX/9
ygyo8EQJrM82J/BfwzIoLuYq13zAb+y2v6Gi6h5lBPUmYo+IMIKsjHUSB7+yh7CyXueunvMDRs31
IRFd/W3Z7jKDpoUW65WMX95x+VSn1LAMSGcJEbsgimzOaL1b1NnKGzBQAyLM1rRDw49RwnerHJ2j
FvVEG4B9YalZMC7kS8SyANk+ThEjLMzSv1I9KoMhg0rOyNvvtRj6TVNisCngzkb6RmqGfoKBpnPr
tOnVnAUAtBl/PYhLTZBvFxlzUSI5DBnS6QGGyHPkKr5euMzdbiZBellsruU6vUvNtLvPGNR6s7uK
1Q9nnV44yRI+eFqSzC8qJuKm1KyX3ung2HaDiNCX3fbOLonvi2Rh0Az8pQBtjv5gQD+6eR6i12QS
7lWCpEPFjOuABNuOimq44Di0gpBx/HuvR2bkZ62lIcpmwCbMUVOPEyG/73A2XJC6FeEBH+nI/err
iRMatCRWxtbVX2b95pqOwH3KIKxNajQgOzkxhCXDf2TcFNIiWyaYDSo+YT6aTvSHBD5hY/imZsuH
OSmsRzL8SbwxssU+N1i3fWl1+l3SzXSp9Vye52jidCNsxI26Nk4PsqCAqVXXYbmrrGG+G1PVb2Mt
ZENxm7rbNOnXUzmP9UvDhAsWRN1pUQDapno1MFWAztKwYjoZ1fsOIoBbnSPjVrbFpM0Zwy5DT/NQ
NoVvdbWL2Rui615Si9aMjvX1FVITazzAxUQ9I1XSF3R5uVoe+X1YzYypFL9tzbF1yvKx3Ix2755j
OWF70gGm2Qi1EnMRJrUDIVsLHzR2vHHH1BM1r8MDurNYoFgHFbuFX+1ldFCsU5YlB3IsQy+ce8Xs
qO3S1KucejmERecQuwV5dT8Mcf/RlAYPEpbr90iv4t9h79S/+M4k1y4r3Uf2VAFZbJZ8KTeJNcTv
RPlY05oMSQR3oWR0LKnRz+gDfJXViMUeBdvt/SV3rI+pRpygUZOzH1pjHmLjS+mwkK2XDVkvY5t2
+fJkVKt5LYWi+ZyE0a9BWtzS+gSC519N4Uh2qEdTfRlD4X4g/8dvbcJ3b2Optrp38zwDDOJG8nW8
dSn04WImeprMn0XVdy+wfrA+GWUrP5skpf+oHS3DwtLS6WNrxsDeiEb81rpEPIGYK15HOw0vcjad
d3gHaByxmd/cAZOpP0dgsKA1iDGDZVHaxVMlG2vTLYOcvKiJKJdC+G9Y4MwBM14Sqx7zR5trIpAz
6xqjGAFoE+uG2ol4JLkQR6sA+aj0PclXTI9xFrfXdhobHHgR89iVHh51egk5RTLy4pNX5JP2uLCi
oWAngcpe6WUxJqMOpbc8v1P90nWS8oGkF9ivTMM6YEqpA8FtNCBKEzmkXAN5yhufqvSswRI9G72D
V6B1bcwRaymmS1Ip85Ufqe1VtSRnJVUtN6El2ycgVzHmc2tCNLSLSy5uTsS6k9Kr5dy8g/+qEH85
hn4gA8kPDnN+ogpKJP23I0rbRzrTXL8ZgZQT+64RcTRVwNHkJad2h7C3HLS6Pw6RXEpc+6kL5nAs
ORZGUKsVOu06PkADml5zcI6rv1o5jCRM90a91w3X+JH03UhdPdh2vdGFBnse62h6zxqB4Ux2tn5R
y2yTkw5HR23CqbTep2Ktv5pobXOGKQNHeqK7N9kFJOTq13mMLBGpdokOItSoQR3TzB6KstDjc6VH
U7yxpGseKwBQ8a5Dh3aPC/iEiL5E8Ha1VZGAW21S7XMKb8PcJQpZX1OyXhhbVIfnHkuKhSsNkH0A
eQoCOMBIDT9Vn7Zj0AC6uPn1tAKyLIbboCFNQXm+2B2/RdxiG3OrhrsWqwwfotajm45AjBlz3PMk
tR8Og5x7LWud1yFti+NYjNlpTcn3c8/JfH/TVGGnl8OCk1Bw6AF1nR6sHozWpsg4qQHZIMXCYWyw
w9qWwwREyqf5Fi5P8CCTxKj1jDnk4LTfyzDGl1aaNfbcMmUhle5OD6qYxJb/UQrpqCreyipqj1Gm
qsRPHa6diN2yGfmZ9VQYmCs0B8qXw6u3MfmTf67guIYpDplX6PaCR04aPwlF5g8WNDDUhynEWpix
PS5hLolzax9Giz7BIWCqhC/DabxBssjvrpJLDm9HjvGbDmqUH/SN7eereVZgHAX/bzg4l3f2IMhn
jt/6zJhe7iLC0T8q7uc7aUQzPGQg1j9IobiYETuERPCM8ibepg6UBmMga+p1y81PKQEGfJDp6c8W
WtlDOIfGWXc6+7e5gIFUYbK+2LxIv1yphZbf6zLZzlW+M0Ab1b6q+hDCe963X2syQqRGKnVs+A6w
i24/NOOCW2N4qioxHAbdyPK7ZhydHzaAnu81C9lLJ+JmpJfIma15A21am3goSLifSIiMDbT0UL0v
opaf3C7JRQqyThxboMZnzxgAl+ICq3H3ek2XOY+oplVDLGe1ZvhsgPl8zWytALCgHcxm3vES4PSc
Oy39BN8dPlRj9TYWKF1lG5KvSUXFULYDT0NhgHqKicEZSXlY8kmidrEacLEhxRahlW5R6rU6KPhO
MBxZ2s0A3YBBoaF+NUZvnsoYtzi2EQxpfsi0aN8AIrobLAECI2xestm0ftL9uvme1qqKNq7RgWcT
GE7INg1O/62kljZeMziA6C1o5FfdlFG4HfAh3Gi2UdgF8TykvJ3mgLwyTSbBGDUWg9iQZsqwnA4Y
ck/DaEEZZWWm8ApRlhRCDMh94mxi3+Y6YoJakWo9Lnjx3WZoU5zTOR6bthxXXxus+RHWemcEKFzj
JsbRh1AQO8K8yxgwHJMm0X6GSQumJLEtjKFZq3TyHVn/cdvZBcKEgdxHxAhO+ma3pMxITU4BF0PY
BG1bE0+lqi1rH42YRLio1ullwhTPZQxCtjssIYuvmHaGE516mi7RPTMm86ozk1XbfIJShDqdN2iW
ZolsJQ3nqwjJv85W6Cs3y4O2qV3f7IXc2qMVv01gLzxbW6nYiLUJLys6QlM6EGH2JpD6dcuQYS+x
q1+LiOofuu2XPahlAAQ39DB0pqhXBQZuEjKgstnssNZ8MQSNRzC3zAmAqwaFOeqgrxYWvc/lHn7R
jAacKuuSoqPiDy0VBqk23zhuaHHljuEZyBSUKWdQ61a1BVMsQ7zxJJrfQDnSTQuKhzesctyzM7Tt
XRrPk8ZnzJ3riv+k2oDJi5+0RRT3xjDx/eOleIUpyHEFdmktd6pLl7fQUt0zTIZYDxJMPwtxragT
TJ3q4Rs22/DLikcCU0xrY8yDJn50v6C7+TZVN7b+qsXxs1UvhLiqzrDup87EDmpALfMjg6fQy5Kp
jAMxLNN3ojlzUK9NQTqPQwVzWlgzsCqACcHuvAXDQqJ6Bl51kzDbks3L0eJBpOjFokEfwE2rZzEC
hm0tZsw1Vjb5A7F4HPYZrnb9YLd5u4kEg6I6a7RrtbB5Y0W7QrVyVuXrTetsJkNNfuWmpubZzTDp
QNSkdszyEFrrvBCU5iFm9FGFI8ZdM1yoBLkoUeoiRHTW1giIVDd9N4YWVMNuDDTCTi/QkaoX0Res
LUGkkejJtX4CGYxtHpa92/nYMfI3qJpudwRSFP/OSDTGHrtXqIpwHFMiCiaaPZheo3rVBzN/njpd
fRlFVO0hds/1YYDIc0tj0OYx/U0/U1z++pY21n6clgyeiamVQL2NSBdE+kbKQ5eZPuPHkiAu/hhM
3R7zLlh+VlU1l1ZNgOUwObu21yYrBfYAU88n+aafDSdpxClXbY/lurX0Z6dssVNp+e9yZVyInsYa
eK8VDobTsdCwW9gyAqXWTvZD1Y+UkHE/ueqYgOw7smyWBw6wXXboU7s9d2ZUZ0yUgDDaFtBANN86
3SWGpR+ImCFxa1X6JZ0OSdR0EiBZbmtfZFqehFrBmDcVSxxY1jDH2Uu8yiLoab420Oh2JQCQXVJp
fWCwk9WbDPnY8QI8JlqosOb2NdY4S6dvoPxoK9ZreIvTZ5DcCCoS60iDeMhZuTIyYYKskuzKRpSX
yYJSXixtFfSCqvGmS7chX2ax8ruqFMkGu3PqMbmluJhT+Wi6drdlW+N+4GLzU+rLqMumcylb/VXH
j8p2SJ0YatF2byjR2JUTQ15HqdQGotqytcv50Ym1eQoMe5D7yprdQ+iEVkh9YkQjJ5SrB27YJCch
sINWbaLWjd6yGSJWlXtcx3ayEEhd7O8c3r9V5+wapXff9RJn52jEy9mPpQs9dVRHJzbMd6OR0Zfi
AvUdvkFDm8OG6a0Bh3vNGih7w2fMtPMqTcfxZ4g1VLxxVz8XQPj2BktCQOrA0nk2i1g7YcoevJFB
994hL/JSg475CAd9xe2oL9o3+c+y+zAz2iAKgARzQBkqfd21aTYpTlLs1v2ftGYy1PkXIQ3cIyKm
ssTtywWW/kl5CrxC0xZIKI5P+OEXV9wSoeIWDh3sieFj/CczOiQCCdf+kyXNbndm/Sdhata3tKli
xJEF1Ejdsf5z7PS3aCr7AEmpzn8Sq8xKeSjw3ZJktYtbqrVKTVYYGVVnZT4DUibW5i0E29/isPWf
ZKzFqHUJFK7Ag/snOws2vYt880+mdjJz+VvdgrbJLXLbTd30sODdcHyIuRSmwy2e2xa3pK4VEdpF
Fqj2/S3Ia/3J9EZ/8r2hkhOemzVaQB517KZJCmexd0kS0pwTeRqZ0oyGfje0db2H3k/11CuYG1tA
K/2vfllVv/sj+v1PdvK/AiOQeDSc29rO/1wiDX7ncfLPsUnxjw/6DzoC5wE5SCWZCPH3fyik8m9s
psAf65Bf/BOd/IdCaijACYg1rhQ82zeQ4j8UUn7JQiFxXZ04AnYZ+7+VnHT/GmDUFYlJnA1Csn4a
QvRfODdJaVNKu/CikxbEL9s8mv55GKPpPR778ZENSs/cGNq1NHsMDmwCqE9s/mDVA4u7GDRMKT1G
1o6f4KaSAzLKsAEoZ3MuoTsIq++3CZt0GBzr85VPT1t9c0lG0G9/Y9n4Od3sk9PqapsmRZFl2led
a3cKnxsDcDyQvO7NrKzis8LAEGjQdim7suxMHXLNqnw85TezJhrj9GqmUt/oKe9zBL06cNlEQdPh
vsMdtXyBaQ0VtZlRM7Vpp5ec4+RlcNB0NW/l0jyRRYxvG8wq1kniGK1nJJdh6Jsnq7C0TRcBKYsQ
BQHE9Pae9R7NDhD09AZ1CGecEebfYIXLu9GM4p9Koq+BWu1/DiU1VzoYBTnvENUUsdcNrJH7Dr1o
ZuBHJyA+spR4v7TsAe6ccu8mMU+wglcwh37HLP3DxOWDcOtSXnuNNeo/KqAaRONqwteK5dukn0b7
3u7H1Oaqy9Sr0vLuFDeiAMCkVuKMK5TIv2/2+58j4b86EmzJkOE/Pw7+d/kVt5//6/8Sp+bF5yP/
kaZ2JPuWbNdmzEE8moT234kp8m+OZGbCe28qi9/EafHvUxP3b0JK5ehCOEI5/3EigFKRtwPB5dNJ
y4Ab9d8YmfwF78XEgS8hmJcwgmF8gr3qXxPNssu1UQwpPrKBR/4J06TCh6SVdYA5ST5aTqwoh4mW
bkt9rrZsqk03eR/ZwT99287/FqH+52w1By0EmH+Z3vDHAA7pcgyavBrqz5/0n+hJOokMOi2XoaIA
apkpfG+hdMPDGBXG85Al7t2MkrcyGy5C6Mg4mfcK19hGpLyV/Kdkq4ms2lVZXHzYMZvFSvpXtG8a
2qBAmDnrPdt2VszmAatNh4c4TVjDkTZ2trGgSF7irqX8x/t+ICXb+lqjrYClozzcaG02BabtLJsy
wj0EvW56FwZV+7aXdglDfXFPkiUDeJwMVv+l/P7FY3uROGA0I0zBniAsmtYDdEVtz2Jim3xL15uf
uq3n9zb6LRCIJh+InejNaZa9n4Ap/mma/folstZ+dnkIdmwPHPG1TN05YflK6qVxltA1TNXP3lHd
YZBj+xhbvTjqlTACySY9cqNWf47wKQRWaSycl+Yxr+o9SDWUCzrCF852rK+pxUpdKxXyXQyhy6I7
3XiJYapsB2iEByT00Fv/D3VnsiSp0m7XFxIywMGBaQARRJeRfVMTLCurir7vHJ5eK+6VqRlooIEG
sn/ym52qc6oyAty/b++99izMS5cm2p5foh8UQ0LQLGkfDZbuXRJNLEdCT+AA1xIHWAJYhDXQmbay
DCqulYTt0rWhM9Ey7ePFFnvSPXYYjxYBOVuOrzZxgcDLGhE4SZe+0M1nfzLcxWG/krAQva5H7SA2
/mrdI/ahFYO2tlyTqshfp0VpH8tCjwJzSByZUAiYnjH3dA1pd7H185+uyglEVEX9ZFUQW3ax1Kbr
0lb9KUuEFbC32w9quVppFxEUPbtdioimNEr3dOfmCF7YjKiJ4W94Q82qNhn3oZI7iA+HQqzjbhjk
HX263jeWWsBOofAHTpBBDo/sQ+SuTOOOeX+og6Xqs0iwmgjasadSqCjGzyxPRsacsUENAgFAtkr7
7WwcXu5crw+VTU2at/B9yvha7a17crSFD3L/f/JPAnXxsLCR+NggnNQ7THLrNbEWKkPSxnjS4dtj
cJrVDQ/uhmaE0XDZuHyDHL7RHUbBSDVthxbR56ksbXkoS2t7snD1hN2Gi6YSpPpnmJGPxZrVN8wG
SSjMzAaekstj2uGvtdMuCVjpm/7MrBE1S9u+lzUpeC9jwVmXBWWBXvWPrHsS4qSqXtFGmcbBhQb8
Oxp/SjsZzQiEF0WE8djYo3uo68QMRb16za5hrCC56Hlhn+iur6jsCvpEZFGP3hXiGNfVwbEb9gm0
JBLuE/aMEUNKnjXCHoHWKvpC6mqtcBOU4rSmDltHoeQtGzTxPCsIavXwoNptO3hzY1/dxloP90s3
B7c0romb3jxeMiHMi5s+VX6ZUgeW6PV0ng2R/axNn/4D1QPvpQSAaHhbzHizYOF2BK403voRNTHy
hCOCUDRj53GrZ3uvOQ5jLH9s8lR2/JzQ3/Jttm52kjn3jXGZpp8ekfeZN7PLXrPpf5ndlMMjJoGF
kMQWtQUVTNwZtlFxxCnlw4Xr720P07QebJYxS0AHE47gob0DdlKmK3tApn2ogX6j//YJlg9Qx8E9
wbvPE9irGMbYDsZxwoqWzgzm7U4XQLFYQIKeEIsM5iwmP6jFN4uKzc03ba8xd7RF8Tljth1p9jLc
6Yl2FfhPJjHY9wHzNSarOLnJkfU+h998jbEg73mnrQdkqfqEPyv9giCBidFNep7rdIZ0oYR3z5hg
RPbxDihxSdvCPjlwQq1QtN7flVbO5NjWdRcu01ifXOq7Pq2MsrQthz+FZEW3DjKpPLBaQb7xsAH/
y5pibRGM+/GfM7h3WWYbP7kLT1Erm1udah+dWoaoJsiNVZUqSxfC3oYManjsBySK4YaK/wXmXXo4
3pPm06pgYHs01u48fXGO8UJjBUJ6fUzNe/b2P8tZAaCWjzi9ZuNQxQt7apmvs3dpK0rp/krNHqZn
TOjWS9KyzN+z226/Bx6F7zg26/emTLUrfaw1ieSGAxp6BP+1ymNv2uZWr3FIxdY7K4DPovK08+ra
Kj7rFgtOSWOO9O2R5f9/9rzK+/c/aXuEzP8oe82JbvoqW+U/YzXtZ47CwT0uTl7mT+MwNEfqhLKX
iSTUCzFuRerJ6EAyzJXX/UsqaoJYDjvyAyOS+FkXdz2O8HpJe8/yLNfZ/etVjmHBWNDzSEMKusS5
hUVaY954MVNbXmvFT7UoSucwG52FCU/rJLEI2X2RyeueLd7WL1A/uojOZ+BpQwInEzOwS6DBctVV
bLGILDtLQgev9X6xYoclyOK8D6leurfBiJ38NBekHmcXGwUqnEU/aagXTcxQ7emd/oEBIPtabC7s
u77NtgHtMhlFmDWT/UtSXFDfcvxJTThmNUvigbq9sDS0ns0lzoAno8Y0qBla8pQu9vJZ9i1RT20R
L81oVCfPGIBACtXc4lJL3nAb0wtlDGhRcuZfwV1ryQNRo6GVKlsoPzXHs+FY8Mw9V6OSwMTQ0E1Q
CpatAWaPDk2yUrt3isTzW6+MOg8KtGLE0rrACVZU5hhuVNNgrk3BDftJ1agoN5aJAHhyxO+mfqeO
tsAsWdOPxKyGKwvUipaX1MAKawl/5gfs0/QbmRXlRpqnXODuartNpBHYqnsDbB1airiLuQel6Nrk
pco2ffAL7BbqjGtBg35TLpMZOQMdP6ehydMT1xkobCbs/1euDfLVGqaU2rqW8/1ALtp4LDoyM8uK
UldsjRywOoj+md+1t3PAJ/10n40qG8dzqTvnJRlWqAlIEkE99MNnG0tsJ7m9UmhljnvscgnHkaAP
s7O1HWNTecB6m9xmQBr70eI7auHovEgAWeQB0Z0ya9daf1P9eAcEgBL/jm3y6KI4mc5nPy/C9MFd
o6fjr/jN/bLZj4imMJ7VOn9o6do9lj0CsyjisghKS7oPdwL+dsCYJ/NgKLyDqxU0kBVeyURoW1Ge
JPJg64DJAFrO3QOllikJ04m9/FS1oYp1Y4V9oJvNqWk2myaWan5Myczj/sb3cs4Kr3idpzjdmQQu
DsTIymNOse8jyQsBy75t1r+zWVFGkTRL/uGOXhzg2gfpQcmmAx4BSan1CRQ1VdhUwHlCVYM6i3f2
zFjZzPfKZOJbiJ8Zlhg/BkIX2WpBmmv6di+7vr7UNH485IsDBmChJkBhGDdPczJrZBXYHEdeHHdl
hDJeX2BHTS2iD8s2SOX+vYctmsVs/J7w+T1aizlwrx5W/YW3TUqXYDpNLRJXBvVmjMNqjudTkXgX
4i17QetfyKWnPSRICpfFtmkemkok2CUehwPFSNrJzdH4hObRyMaudbduZvl3qp3kVvBW5PRnKb7r
lcX0QMvHGhS4lK9OSYZi0Gb9vaW+7pEDrjs3+oL929NA9Ft0OFsg6dlSNvE/lMAyJC7q3BSrQS7Q
zkR31EIxqMpa7Z3AHe+QVcWx8r221g9FWw3EZuzueVsku141muKhj3XPz7xNfZMcjZ9W3uIHM9F0
IOIgA1DsSn8qh7+9hWJOW1AXOLbRcnImMZfOzQhsY3mIey4FOLrPgk8ozNfCCWc8tG8tu61QctDs
yrbLwyqLnSv9wum7MfUPnSnHPSUSw6FsTOLDA8MNvMqkONPf6fAiMcspapgxAi9JzaPOEv/JUtCq
rbI+l035Js3qLzv32zi7DcbslIC9KogBpfWCF9zlZMoHv3Ew7kiSBrey66qfee2nW8PtC40tTi4p
bewRsOPl5Bi/i6UgwzlarOUL4MpqjYRmpcxS2xKs6VrtDQ4kvONE7XIgQUmEEQwuosl+PD2qzD6l
q6RvMjkXWyaviZMY59olJ1Hk7IH9jdBWUBozzZjY4t2loyd7mJfXlodpb2FO9glAtYhHRQZmcS6e
kpUbbdwn1tkdJ+vJMir3NOstSg9B7sDR4JfEPO3nab0XB4umR08da/3+NbR9Z+WroSk8Go2topi2
OEL22cktRqInS2C46UF3Zr7Tq7/UNgK/4WUn6k2gU5m5OvemrQewdhrmrKaZjoZTGftcyzHjWjYJ
DTZuVkDva2RlXdTp3CE2a3Z9fJq4pGReHuOt4v3HZvjdiNsGdle10go4sL1Pk8771LFhHwhHGB8U
QVq+1yXlqVXbFBjwU66lZluhvXhztEHn+oWtUnxIZ2ufuQHnOPyz+b2o4+Yo6lZ7NuaJXdzWFbwr
gUntrLpPL/2Yp1eynIgWXNp+DPg7R9do2dWx+v4D48gmSUaWuiNuW8V2sOrxb11x9okVqZGoEqLx
K4B9ah3WGa/OgnyuYc86KnPyCAUs3ss9HxzUFBL7jcEFdnZqEQ6CZnPbaS96WtPOS8xaEolNhcUU
qVfP+awK7gl1/w2yGIAEncKY33rtOAgzwkuvnXSRVcBUl5GS8HHAbF4821g2bBdl1LT6hwaAp66u
E1Whm0DGHeVXkS63etGNCO7pC4Vh+0Sj46fqo5hAHscSVrCYLnCfq+FHn3ifVeUF5px99yw2/LLH
bpS4NXB/NVWRN6IRcMzUF6tYTL7HfXOELnt27RT6h7K2s+xTLXRst4yqwj3gP2yQxdMyivU6Oy7Q
lg5inl4gZ5IcWuvZN5FQAhgAXcGXo5FH3Wa4Agpd/Agzv6diHUxJSLcyyCfekaauRSkaSGCPJYkg
j9BnUzjxWZUU6VGfNkSewaSPTT93LhmsGVhiTrDRlnHsywK9zDkaU3o2KjPaBH2Z4B7stxYH7kW3
HPGW5RaNwf08ggUxVw7GApMpTATk18l3c6iy25C179rilYErGFE2SdCNKEJ7pgJpfqHB9PEey8lX
/F8uuA7qIk5j1f2tld1fsWBqOHRcnfoXkrt66wZdb1R7VkztMXepd+4EKFKz6NcrCvscSMfUfwR/
P5yFExEBh44DXPFud8Rq6T6CdLH3MS3cdCVglUnKNsTnpu/lPGI3iHXeeeBEMM88z9TLMuEob32q
dBvfnKvJfj9iCz4sWd1gzdD50dOBQlnO4oWLRhx6B4/9UtF0EMhWLhdnjV3Wx801yXDHbsBXBUgR
bDsnz3shhwrpXjyuWXmsxuw3RtG/a4J1ibhow0Xc7FS5Q5vtooF18J5jU/MXuwQlbGp6iBtrgRky
04TtaFnEyRUVhh0ZDnZ/aw4WUDCoe1Xkug0PlFOFnLZ/5WI+gJnyDoOzRaDUzjZ19TvuWnvsO1+T
ueBqUSjmx47j4KU39PVBxOnXJEwih432LjLPvlW5Gr81W7QR/5z9O9cWhwHiKDqmMa4o2gvmpGsj
ugDuse47uPcuHbzhXW6bn7zAE4yanf0uRGUEGkVdgbsa77graY6VLqYEuuu5Q/s9PMW1oThMZ0E/
czTvPKdHOJxc1NpK/isc8yjT7FiBs0qX6rWjGnlHEsjPuvmuMQhnX2HrZblxKOv1U2tdi6dHK8Js
iSGZlFY5vjBkA02zsmsez9nBM8bHpS+56tG99QiU+C2na8R3FIREo9S5LxpsjBzAiqDbcEvBKfGt
zCxZ5RnWg1IS3EoJEqHo8ziwaxmaA0brvoEkRD7vZBUXBOBzu2QZj2P9cqfK4bI9xd7gRdkwEST0
FLypafKCqTGqV8A26hPy7CnfEGlKBg5y4iqSXakOY5uBMSnV2hwxG057wEjGUTNS+IIDLthum5Nf
SWHAMHIEOsvwKqAyL49EdrGI/XHYc71iQ2mOBlffY8pmKMR0fNHoJt/hrdv2unLcyDIJ+cGFviUV
65Zpatp3YeRbBPhnSsBFuSI02jbf1eNM7Wm7thfTYWPG2BDvMf/KF8JtAI/0TV0brFvsMk3ZHaXM
p6DXVBbUnrpo+KEJr+eKD0pPDq0ZE0I2ndXbda3I3mZbWQ98z0JzWi9YiYcLPYfbDp8pW68j1bVu
yO8dAD5Y2tFkUsRNoK8B/03np93iIQLs9OLF+UtlNunBafL2QP1Z8U4uvw06HA1YjPhzZTpYKXQb
0gPaFCac89yTyZrlqUVlStk+U+iF4sI9Yd0cCwWcBOFxa4vW75bly27ovYQflh5llljXEkMc7UCp
xoq4LFri1AmfWbQo4V4crNGYghxJYtvO+XUYLecgrVM2VJ39x2HVRQcY0VoiTeopH5KOeNt9H+7p
DoVvdI8Xppl8FJtdwIygiL4WUrXhkOX49bT43kOPQz8/LEAAfsEugVBZCHsPxJJWmrSYgoqAJl4h
fKu73mlNjfcCtsQrtts5ucxyPeOu094pCqfUrGX0CAfNMF4hauFppkOKSF3ZVPlFDVzJnLg1onkx
cMs4Sc23s642vKCrdB4cAY80ToYu4reIUDez8cIsb75nsBuOxiiBRqQtV0cYdpelZ2CqNaE/mbWd
3LCViUOX9vkBPgsXIEN2RpiA5SFi2lb2RZ/HoOfyJxA4+13OluKCzcR8mSozOZWrab7y4q9vkxTp
YU46nPd633UHM69ER/ENQWZ4ZbghGP5bjj5n81erm1mzdVh3/GY1029X8r7A+7YUb6bhXiePdmZn
XerHvMPyZijrb+zp4rcOxyKlAE/Ef+Iyq165hnzlno1NveifzGl4xVYwB/N94TVtSzRu1PXBFBnO
mJP5utosvlxZzxGOhZo4YOZEbgsFis4NPZwbpNOE9WCQ4Od8JAWmfHSEEYoSOKf9VtzZbbrFgk7C
MK8aylOyvH1wCeT7baecw5iOb/Oa0sNk9h+Z0XU+xclgoQjWPGxjAkJUG7pfVuJii9ZjZzkI+M2d
j4ELgIjNYJPEryl9okeX+DLRuAYH9nRWFGPywlP5aTWdfxnX/53IqzEoWEHxJlB4gMgWEqUtKXwG
/VYAURqN+iK3+JH86qNMiGSntMXjqIYF0YzmT526fBntTFxVxd0YRzXN7TjKv+99tiEuy1/eaLiR
bO8hFtu1KGUuuYR5AtxoFZf5kS5bI+LUZTQ2T0DL67e8JCluGnz9aBpPTpNytYjBjualvnwaM5zH
CmFq73TjxeCiPrjjfBAbW0kArNtwLIZae5jv4DQ+j9cU+3lQQzMLLPJ9u1STANGpc1vrnr982foA
Pm7a1ukXwm8bgA07PxluwlAMTp/NkCzAlalnw+x5OHtYeM6yGCczJqGrRusMEe1F5yHa6fay72cH
/MRYvjZl/rBCqvNTSYE1PLnMIFFN7Mq3p02PINGMe9R0xKSG1agVjt7MO3lxiubsNWJM2QL0uInW
BX6gIXkhG17fvq2eJv80tsPWkqpYcH79xscLbQi0zRysQB0wVm1Fu6dbML+O6RA/AoncTivlBwQX
x/IOKsc3LJ/kQFplsrxvmeM2o+oPhq9zsGxM53RpPnnci+ARY+jvsiCr+vd1yj/tuWHROmDN7hqH
OseneJjTYENgeelJCvgmpNlnAXnv3A0NnaCJTN9tM5cRGUSuNGrAyEVWl7SCE3Rpa4UOVa2HaqSj
fnpSaE1XrPD5KedZ+wbpn8V+6aDfEwRj9zLZPAFJbV+MyUQX66xKD11M/slsuQFcyiNRs4YQrk3v
rAtZgGmF2wJh8pXjpMIe5eu2pbNylPVBdJXHx+hW5rvepZjXnYlWNVeV9W9YpGQoW/o+L/xL8xMV
zm+jy4qq1Mx9w/vt6q1l7vjarLSfjTRFyHlI2GHZ5mPS1hh8PexZn3bWa4DkKkHFnWG/q7qcfcWO
HarelA433gtQF5PJKn9J5c0/dJsx17E08GZEoaKwN6op7Az6KFGZd3scstusKR7jteBDQGNa0gd4
QDl2dki4sO5g9b8CvBuOqWrwi1S9PhOecOy3KTVSKu8d9lR1YjfgI5Vl0VHemOUtscmY+qIEubDb
kmrZ+JFkVgsrzsneiHrCSNE4JP16MrM9E7UV4bbPtp1sWpNfC9OAOvRl/syd+ge4juYDov9hLCdQ
3mVNHuid+VNy4UNw21hY7bSclcgw6e55NseMN0XD/4IJbsB1lU3KlVK3P+u84FniH+vDVcMm9luU
ZkYHoBk3+3aa7T85F/I9PZ7y6MaJvKKyqoeJiATrMTThXi4jPtDSfpokbr9d6iR8USAHm/spleIO
6uzRnzB3wIDz7psuMHSDmP/y05n2NRZY3zHyLNJV/yyVhQxJnwjhLsvW/DzOy+uoSfXCZi3dd3hB
Njhlug9VvxopvJAy4/HLZxJfUqWBY8T2b/ye4xzipe1Og1ZWbyaeSbjJRRU5qhQ3gjjF4DuxuyBF
Q+gUlA5Ms0Vii0pjDj6V7VEUD0AlaqiB7ned6snepRYZRyHFS5vmTcfGbMwbMcNvD/YwLCDutLtp
mb+sdoTeiactLKztcUpnirHaigoFnfq2mCYKX47VFnTrZ5sBRsV3KMzmAUWQ+M0E/SJpu2Bei/5A
ScP2TjOvDvkB8MGUT0uglOGA2e5PNB4ydThbHzEFpvtBAGkGG8e7fpK/YGyna5jXsG90b+6vOZnN
ULECe7aKGDZyThXiK2LTtgc3Ez8t9ZLtR8h9XzEE5nJj6VBgyL7VfV+913Bb/aZw9R3VMtnTRIXx
YbZlWfm916Uk7zkYNh+zkXfOWEsydWBOf00nfXx2TASf0KyyBMCqqWdncpxcCRI8uQHoVeY0on/x
JtSLWgsjyuxpPmD/ZEDDkomCeIQahHQqyEXfT2qHwQOnOFaeFkPAjvCH/q4mTEtqwlxvjTPAPlz0
QZ4tc0g+7pXJjFvKaPUHt2nFNcf+u6/WMsNobf5Cf4vPXETyS8ltEtAIAw1maHm2W161cw7+D+ry
fAU8YH84UDGrRF9IGoo1GsbRiYq27c/tZmSg6gb9OV3M+YDIwJqTyCRMIW4tGKPqJX5JZyUfWFfy
V8kRBUmUWmekaeORnyqVp9Ja26sRT/jrKTJVO6oVTWwUrbtd6k05/9a1rsoD6gszIKqbOi09QFTX
2vj2sEt9TTZruompfdSSLajZ5l07Ncojlcs51ihpN+ekTljGdbq98Qv6edrngPh9b2uolpFGvVsk
korTiOlPiXVgP2plHIkElCAG99Y8wPAwzhRKRiUEz+9ixsYTerO2OLCA6uydz/fXanb5QbFE4OhC
V98llcHYprBY58OnbuXpISUQQWLKSG2Ah6zpWO6g3+mBZQkabDcxyXApJJJiD5d43cBIuF09fY2r
WB/zlfOx7RzSCCmDAYHeM3GWYSC4ZnPYoJlz/+/WNHseacdkXZwPgqYO3tBjoz+iNeyzhe9vZa9v
RmkXfzatyl4Hr3f+oMB5F3syTtmUi3bHvA1LwjWXHsRCZpTw8bXmU0OQveGC72Hc1AbfCkML9EK0
vxYvH8E5ghsxoSlKVsHcGX7YgTJ5mJ24JSZ4DIxB0KHduroh/Cu65muv3Q3K0s9JRdmmysnOzZrd
Qd7WvsiZ9b+8lPuGL5tZP7N95rTBzZb/xCwrGROsRR7EYuQRnh2sh83UfbAY+gJM/3tRXskxLvs3
YVLWm3U2jCaO0+zTYP78GFcwBryF9DVaeu7pzBoD0xTM1sJlZgkSL5tDMov1k7tC8YtrV96w9zuh
2ZZLRJqMDAybvnFvDElj0SRAhTGhxjxemERHjcio8P9jwClYS+w3p39C8TJw2jcGW4xkUJGrmR5S
huYetE6ZT42lzxdHQ3kdeR89Y/LQ/I1Nf8ClXT2WdmJF5jgmn6SAxRtwKTLR2r2jQYDE2WmaNR+G
6b4fJyNnQNlf2DvpfeUieNGotEBvajIbMxGp3TnMIC9VuxlwEN0JSQAwyaS3gMqEsTYx+dQbNdeU
oTt5IDtZh64z/MuNbAzGJu6gVubYGWjB2kJTgPVjt+9nukElAm9T4NVrddFK89GeodIOEru1aW/O
A6BMbJuZUr/nkvwP6MvFfQL3sABLtSna0TOjekak9V5MzVKPCNjyt+mm9VlbKaOyoA6f8t6By5Uk
JW2tDWB/Cxr8cRXj58Aeutj1pFuuZGWLPU6a/sBRit8FItoNm+UzFrziorhzRTn9woG1uO/dPdw1
wA/jKumq/K3Dr/O4UNmhdvpk5e+q29AINHfD3JTds4hiu/Z8Ify6iOd7Ja1zHNLikFZLerKrjHVk
7Lqn3LYf2riogklUblQ3a31klzH7G7wsngi1nKhy3Z7IGbHf7B0HFD7ImM+47nF9CCE+NCme3T5+
81S7PKY9EXwnZoqDxJsE1XJPEan8KUUnzHBDRfQz8Px43npe85bNa6nqB6htvV/3xVFwnX2qqSKP
Foaoi7dWJNwYnsS1dbwmYu/34+Llt/T1nCQIRq5mn8h9I9pQYjBFOSn8z5Rq5v1QVt7BtqzqzZgc
XlwjmvSxzuuT0cjpzE4AT4hlqyAzzO69LPhBuVBGd4zJHTA7hGoSMxIgFn6lzu/IZu2JGOeRqWXY
OqB2+JXeUUJfjCwAFD0D+q5N0GVTSy+feE2TzEGSVyEnR7NHk9TPkzn/bXuDXc+Q0PCXURCwK5Ei
H3hv2T7+r/WEn4DOdi+BAj0m6sGF3R15BKmesViW4ZbFrKQ8o37uuFw8L+NqhklatV9rSaobHqSa
z6oi6pR6RJ3IccbvM10Du3RjKGUjDfueJ38DA5fZ3kedlWsA6pWtQdpokDxNWMmUdx/zxSaukjrm
k5HJ7EHUA4vyLSX97y1ifGQ3kP4QVtNpZWjh+AgWkdgdDHle5WB9kvBQvM+2ga2hsulCWL3eJxZV
4tvK0BMwbf90sWeduKgkPywJuUPk91UUIdynjCG8YhCYwMSNn/dV0Ice48raeY0+fm2xNN/ZbmRf
+NO2G7sNESZerIVb7+V/U80ynuF9ohzETfka53EaIgsw3tfk24TXOi+09OmHdOqAx0H3fp4T5HO/
tabyNKZ58a8xxPxSc7wizKzxrfM6m5gRnRxRNcIp07A9nwiWiz0UYVSFwa31x7Jcly/WLPKKZFWG
buNOYGEXa7ihGFgv1cQArjVr8VI02u986N297Dk/pzI+QVqC0yTs/pZ0yvi265m1YsEzA7yBAKgF
SANjEL0TRDfN4wBhhxCtBlpwQy6GWUAvWFk77X7rWWS0ubf44JWNf2buxmccOi1Rew3qGcS2KX2U
XA7ABaj4VDU8hzTJAMRQjPqMzmwLUKPM56UZ4ufc8xriaNy96jh74XTlzmMzS3P80hJfOQ5aWlqc
h6JUb3JJN5C+9K5aWjmiWXOtDbgjFx9e3q4so7U4/Zwth52bV+YLawf22xu+Gl5RmVbsHV1YEKLk
9l23mTy4KerdMFbC9xg5fS8nsoq6s76wDRsj2yaIt2z33XurT8M/zDUred3Eftlonz8C9S19PjfA
IWbmnahfk+w0UGJ4VDvSQZSJrvNAvwS6Kl51bHkZX0sU7Eo9UJr6BHVvxBlHeGzyYnePm4w7Z5Jp
hxrp5mUg78XEDHZFt+AX+oNrLPjT0d7/bZoEztdvNXUb/AzgYIAeKGVzbIivPfT51N+oRizAnPHn
T0Bhs8t3LJcfufGXF452nWPc9aEs74ALuyx5B/0XvGJ5npvluk/nxTb80m3+2l0Th8qOy68SSjYS
CpbhN1mif9i4rx4hTeS/Cm+YH2yB6MKeFjNsMWslb6S8fvp/kqD5/6hXzHRMC8P2/9kJ//ydfw9j
+l3/r+GY//67/gc7yHQkDaDUg9meuDva/9MEL73/arnCMSXvl3t9mfU/0UFUihmGyWHiSbKCdIr+
T3QQlWK6BReHKlGhs5Sz7f8bH7wr79Vd/1u1F1ZCR8cNf7egO4R3/ncjfKOTAqm1cdjr0J/Lgxar
Ib6aJeRnzmLE1NpNaBwZQF1RzpTnBJo7+gJqhOWiehh6sMukwRP3jANc7BeBa1F2XoGJdm2RWBwu
pDytCxw/akoqc7pQrrhHkBWgMzqHffzaQ5nYYRTdKA2xtYU9kxVfaSnsexZlcIpTXFjMyFOFD0aS
m/3auHnhLhBKUZmx5A3mB1CdA5ZWzBbkm+VvqrJRLRxvOSgI8FinjQ0GvauFVYtJmSqvJsQgWjzP
Ztv9EDLTvtdasUvQy1j+BgJXf5oA/DifzLsoVdlxmlJkOiR/cEbnH6VbjUTWdRMUR8uG0T04oN1f
Bl2fyFLaPfdPp5u+1pXynHZb1RcRCLXsllpvH8D/9sDQauMOaKvHjZIM02RYAnonNmaqhPF3rjLU
wbk3WnwOtWhvVW90BX1pk/fVchgl33rt4oTPmrt8txQdi87O6vsHaRn2l4tz446RS+/EQq/WTsMg
Ssg31TxtIFO9WZzdeR3qwwA828CeB8PbGuvpgyBQzvkxjgN/gaJEIGFnU+07TuHfYpwKcGhW+1hm
vfUnNQz15k02sHtcRdQMLKqrebdiQ92JlvKYuFza92qoy8O8uSgElT05CWymjmOdg8B+T6dkfO+6
tkiCbvMy1K3Nap4NCXUz5E+g3md0/se67dIniG15v4/X0YtStL2D0FXymSfKsWEJohG4QVZPtAS5
zrR9TGM79ydpLIbmc3/WjP2EZc2MmCnyb3uYSe96DcRpbIctdGa712s+Mwwzu0rX9dehm+lAIJq4
sq228m4mbjHQfEXvI1wYb3UHLhq4RHArLeorl6N7yTMPLG3m9fEUzmNctXxhVyqb8GEv3o4ZrRaH
pWr67hAv3OjCsat4S+t45g4W2JoLlabm0zQs7luBqW3nQfWYfa0GNux7c7U94gAR5bNC/NxNXPej
rJMCY+02gu7T0/5Qsthk9AH39VWbU3F2KPXSAgO++0876g6eu8rVcF6KESlglZbPFE/Qno6s0Ksb
+eUlOSjEykAR4UwE+R+088SlQbRmifnN7I+uUGOOZJZOe73Rp5GGVA0LS7OMybOFK3TadWmO3WbJ
ug+GTvf3f6PtTJYjR9Lu+ioy7dGGyQGHmaRFRCAGBslgcCY3MDLJxAy4YwaeXieq237Lqi5lSwtt
2jork4wRDvf73XuuN0j36I/DZdIEX3yVkeleu7V86eHqM1FyRnc1d5b74YvUMxFv49oLQegUbOim
oj/pahmxqvW9i4PcZci9MJXNtk6j+lecKu1nksUS26U/IyQ3rAPZllKz3tkzKATEEnsmj4yngWBr
5OV+ctTwVMW6Tn0CYjglLbRjL0ALmkQP+yvN8dihsKrxBnni0mCk7KYDmoy8vKojyWWekKGRq9wM
gEUpvrAftWukHzlNA1hHg6T4mnWPd4n22euKKxwxF5brj8bz6lvfxyA8mcCmSOyhZ9qR4/5o+jI7
ydn3XIL1Xtrcxn09vDP1clDwaLGyzDq4llYWP/GNytZeGfCtrMADbrmZzG95Pxe3GhPIiCijXZ/5
WmzvBA3yeE784UfW0LnjM21cXyxlYZVMl7FTBsnwWHbW4F2DRVseWGxE+ZgHcFlkZshbm5APD+Dr
5qol1v6azg42UAA2PsJpUWIUN6f+Nkeg/Qn/BTlMZnSvQ8LVBdNwP4bxatdfnaNhseQ6tc0d9BqS
ehhJsw55AkUbrkc7MxapGi6zEaxeyzF9oSGE43C39+lcB9poFdYGD+9lSMiV4rZtV4VtRueXI9L3
mLH/3ilSWs9t1cPL79UD2ix1iHgqgYUK48FlOSvJYGsfWHzOrpgOxMIOycYPHwJbvbdPJ6e6C3KD
cSku2eFgwb84+IVeXjtKclVoQWFmlO/U1b4hrZM+mG45Cf5tlD7r1iO63ycUHJBUcw75hHd4hSCs
WI6wSH1BK/JPNbbzd8MYyjuoYvXWgUv6XMTgke/KpCtZUGwCQMB7xuo9K8ppT5x0ctZkE9IvD3b2
OkmbWoYM0YIJQm4x+o+x0Q8/Jz+1y40oS/0uGjbQKzzr0DIpiaBd2QCstU6nSIBfrxmkFIMuFCr+
jFgsLuPGZljM0E+jmP7LDtvXyjUs76UlNsKNO4/25mKaW7sMcD8G0fiQB/50JF9j78HvJI912XOe
sOQQqgjnUZR3/Vs7tyPGorLmqMGRmo6By3XIgQQqzTX2WufU4W/vYW1vHE+/1DHTgehSWZBklBeg
4kTH1GmIdEyt+zVdyg7ItULwFXQmdYOaN+6cvue0v68i7X8L2hK62DV2VkrNdRfFJVQ5AGHU8+Ib
e+n+aF2oFSvxKiH3wcGjpqTw4HqCQz0z7UwdcMzT6SCMmgJNhx064lgxUz4a++TQtmCbmmk1JfKL
KQOjP9vqrGf0WoMxHXheOizyQk63C1+frwhbSL0eB7Y6blIw8TUvvRVuB/hgCbD/53FmhPal36JP
yPD2UwdflAuixf+XZoca71kIHN6/z4UF1H2Iig3ErPxHKVP7p0yj7q2QTruZlrn9NED1rvPFc1OM
THQPMJWLvFsf3MyqCoDUhfkf9R0wxqjyoLIOkrWbpKhf0Tik9Vr+UQRi63Sg+RGh2Q5LvjBIMIqM
VxhHl3aRoYmng0oN51Zbw0Il0wQaikhiD1bBT/LsECxO+82gxF6VuGL47uBnP5RlGyByBubgb53J
lKdlwd24wn2IgXFRwbXZ2fPMQLhPPkukjCt8nei60ZB0nwpjIRuVgEYX0/a7bDO7HQ3ZWNMWVgvI
AP6OtsIShcbs2YcCpVp25SwAGOW8yzcWpk7QNFTaIclO3lVeNtFa2bXEKevZ7TObKOpN88Cyf9CJ
2bz2dZdcFSXuzU1lS8RgbkoTJUUBk66CWhCDOZWIsMti6Tn1vpUk6Kii2yjPSJaNlXeNdz0Q6QbM
YjGfR221tyOCPXe/xafgzoSfyOpelMuNKLhM11Mg5aZkyn4eEeSfHe+CnRAyrSHR+v5rNpJt2tNp
r89DpuJ6I2O7mUPkPjYFae3PKWUpEQ2DqAOIhHbL/oVCzDMTJ+8+ajGrEDMhYLSKgbvQPNDbfE8G
AXYud4re3A5ttoGLAv6wS1LK1tiYninSGY8kEiB3wAXCm8IyLp6BJyInx3Uyqx2tNLkOZQIR7iUW
Wf1tN6Wd3ufdzHIRj5fdUZaoRe0iIhIfbBQoEB2mmXE3EAd4JBowA5dNEJdhXqZ+BZ83g9LCAj13
myhLuuc8cq2B+7LZnXoQeseqH4aQS6D5Lnth3Y85TI6NpYLinCyT8UQcK3i2UTJ39hAE3z3YoafZ
kCN2UWG8YalFhYt0tpzHOusZ0VpsF1zdoRiUEIF2uCCITY6lKQ9mFc8vdToTvei5x7wwzrxQvnMX
80RcmFm+q7sUm6QbQNBaM8VSBTtlM3cPpkHH2qpNq6gheiuJdPmkd3BEJc4BaBSdDPSSom4DCrmM
q5JEzztmcHF6tXSYHUTvzvoAE6tFH84KbWwobAl+DtVQ/kD5kXqNnF7ZYctZ6tnN5oSaCvJ2jYWL
uk4vzedN4l4BYW7gtRmZyrZiGUdkWwuap/FRN62/n1EFcDYGC00Ch6TKlm4i18JxZwN2oZavZLws
ic2Xfcku4JuGhwKG4SX3EfVITBjjZyzVW9R+BZesAFdsA7jbTfQQHhyuJ76YC0zA68TrcAr1jgsZ
dVExG1anhottSvFocr9ZrrC5Rmc4k5ouqt5aKlSNJYjta4IiRnQRmPsiLFFkQyYooB+QCQdIsYCL
RDOnRJe11jfJgqXqpGpkP/A3qnRvu8ypoith4Y84ydHvPXBd1MrtsxYlfxpEdaaxXRvXUrAneZxx
nBFshGLmkHBdMEUKRtDZa0oOrNwTl51nQlXAC97LZTY/gjTLsV/PZBLfcy8GzelPseWzSeqcCKI7
bayMV4a2ZZvZ4HJcW/YMTwYfkm2+O95AG2PTNSNw0kjZG1qE5uCa27ce97m0+iukfasJbTpa9zVO
uF0Xd+wlbBLSD0nFGOYwp15mXrpWaXSr3J6MYs3gy18vpVV3EKvtdqsB1hqbLmZENJdOEF05TT31
W2iR3LvAefkRYjeEB3uVdvBpcBSQ+w1BsRXt25Sz3cYBNZc3hUM+nfBcIpZyxWBfqqvKJHC6j2RA
2rcTpZ88c5PC9+BOF5t/b47j9TA60qSUNm2H8gmDqpt9WlzD9Tnuu3lTeQqWW0KlN0e71huwhAXB
W8bmzsX50uHra3k5wKaadF72VixBzaHJLoii5I7c1WL43da3kUrpVmyMY1rmb0FmROzILRXfJbni
nuhG6t1wJsZkhbncYQPE5q5NbJNpzgCxCEZYootDuy/eQJVsEMT10e5KblMEHKOfS8pej3xBxskI
ieGCkimS+QfuYsc5tKMVs2E1h/ZKa3zlGEK9de8B5eZ4OZeHgXpodzW6xX0ft6xNELDyI9lXAtFI
JammFGUW3jo24uGz9SVyo2VKai9qD1kUlZVzDXZWLH3rlnKVZ1JAMZ+HBC6+KtLYOs0ejoybwKyw
OfDTeHFd4qrGhhBeUJEETiaAxcxed1Nc+V+apT8NJ223T63lcmLKM9V8UCVcHQyYBuvC86NrX1HX
vcaLQEVxEUMS2yylcE6iiJ17nCTuLlVZecjs2VyonuLt8EavOfK97B5554M96BOTn699OgFG/F+K
6fVH3Jrx8zyn3cus4y7bWZlFBsqxLgBTsEnrXloFHQeDrwAQA8vC6WyZ5WYcBPh3vPRGcRv0vWZd
cmQZbA1e2LMmJXaU3sIEj6oItKVKRpTKKg77m0tbjd4wNUxw06SZieMJhCQrNvUh4f8X3fKGUWDd
1j+7/3EBiPyo1dwQVev+15//2P7zz/F3vQEq/qc/MOlNu/ncfzfz/XfbF/wov+hf//L/9i//2/cf
v+U/EDxol3NsB7Hv/yxd7vrso/nofhUu/+un/iVduv8AzuEE7JAdhwX5wvf+l3Yp/2EFgiXatv5L
oPwXwMN2/4HnWzg0ZdiwD8RFcWwx3SX/87/bF1nTZ7WwXNumJshy/1+0SzTQPymXJo8gA6axJps4
Hy/hn5XLwCZ124JwCztB3GtFEHR+SWyq4H55U+7+HdEBiuQvD0NdO4ouPbCezev6y8O0VGZmuAa9
0HPz4Z0rU26ZecQcHbsc2HOphn9yqP75Sf/NA1pgUf7tET3WPonkBI5cXp7RL0SQoFxyxkURlhjr
EhdWdMAm7Iu5ea4q30F69cr0QSKi7rtI3sP9C4yV5qfeq9lh06CD7Kr1EufK0jQiwNjJrvDYjTdl
vCzX1pSrm9+/QdaFlfKrhGwG0uMjd4UQ2K5N//JB/fJ8M8jN8zhVfkgqtvwasTitW9/if+kcIsVA
fG5FlSokvVTWX01tLl8YUMfnOcZ9LvpLiWXf509VPeE+nPCu/P7p2f/+PeHpIZb7Fgo838mLAv7L
0/MDbTIGm72wZ1x9ky4WCYlUXKAb7Zgwa558sEnUhx6530+hadC20sWkRHnOcg+dwX+xCd+e6LoC
VKcoszLO7A8Q3WDekQXz9JC/OeRgd5i3mztyhvVnDy+ew4pW979/Le5fUf+Xtxq9BYyW4zAPvxB1
fn0tMl1GE5SaCFVfJNfs6YHNgZGNN5OSCf4hpj+X4IAIjbodvypvxEBcQFjnRkjUco/sZZz7aere
PHZwFIjgRC5zQ7xOVr5tW3HjN6lNEigd4AsaMcaWfjh0dZLAocjelLhEiCPxGojOue2Mfl1RNiBJ
v+8VYeZD3hTeLUAmipOMaMF0Q0a8oqrEirb0hHp4RxkT9jPBE7sYnZtGmcmX9CA6EwR21FF4mqYX
XOkxIh04fmqOMPGR7gnoQKfh+fX37+XfvJVgd1jcWIqk417YY7++lU0xZkrZGqqHcOyjY5TL14JF
5NplIHFvTy3f16oegXE4polaxOZ/8/sn8MfK8ZfrhlGmcB1AspbjeX+5zgl6tbloZxFakVOeajOv
QPON5iVCvPMd6ydlJtOpp+ALSimUynIP0nD8SXai+XSV7iAkjANVMAweD2NdFMQ1cX3RWEY214gc
dccAn8AHGffpGKty/gr60XqgIhJLdDHRmOvk8bVaMJWvC0ifK0oTpmu0gmzb9Z75H765LO3/tkiw
NFzuSdKFGfTH3/9yFSpJqtS/XIVtrodb2EY93iH8MfAs6uYOZ0yw1czEyBEWVKloGR8dJZgM0dtL
smpx5ZNoxfzdjLH54/efw98s8BJcj7T5BDwTHNSfvwhFDPO3EIB5Rlph1+ysfyYDofkOzdSfhqvf
P9jfvA3SDWybWhBYT9xT/vxgNTcobEWdCOe59V/NeoYtPvTZ6feP8jcr8p8e5S/LRCGz1Gsdskdw
uNNvk03NNdgRznZIo/P294/1N68oYAMf+Jy4cWm4f31FxohalwgBHssfnq0RrMWEePMf7sL25df8
erEIabFxIF3LEm6bwLv+/MbZLLkSpzjTe9HcK7oxMdrArEmH81Q+1kF6mipOk9P4dYEnILkZJ+wt
xM+XWm7IRs8bNp+ozYlb49VXI/J416EX00Sm6GefEzNUacwRpk8OivT7xRqyNFg29DcNdevfv2V/
/XiElDiMuFe68M/YV12QYL9cC4u7MLSjZS7kiFOvaVmiB2Jm+794OG5+/1D/9rYBULzc+CyPDYwF
6ezPD5UsFGz6vREQyffiq2jOjT2hjOEYN1WxddoImBjcxv/woGwF/3pRQXfjcme7xMLmC7Znf37c
0e6EXVpjFCJeP+K8r0MHYP8uiKbx1cHp7a2sqb034vTQxOObT+Pf1qcd+iOLbUqOzeTI3ueS7PHh
Fnt3reIMwdpy4TeqHcwhjGJR+hbZ7VsNYSY1qRaVkjAWQWt7pQvQo/44HUQ+cAj1W/Mu8EayaWWx
CtIZp4UhCphn5mxu0dgu+CNUxbgxr5VtFFt/GkkdUMzFLLM89xRtEgUmvsJtAfIgki93Olc+xPAG
T4v34arlqzKX9lRxyNpUQsSvbW30JwPlaztyVt1A2wZLrhlZIdVkuwJDKZ5VXWRv88XVDKa1StbB
1A5fNkokpSEulTdl57hvU2rTWWyWj0oNd43c9bxOwFnWD1SGJhQRWcHUiMt3XwhyBF0hmq3QeR5W
aQDvjDzz2p6b8hbpO7+zJg9h3M50BzqOzKBFhdx36+TyBitou00tbHNRmsMgZ0AWhdAb6DCMuEm8
E/8Zw7StIABk0FoL70FgENt02gEuUTGmK9aLTuZj4yTumVIMvfbTOZyA5QTwWPDFLju7cPaQUPqB
OfbkbrCoBT/nEbz62D9y6P6m8kc8p3adb8mMlWEgh5cyweFfTu227TsASra2nnWWOechb4Rczaou
+V0F0elgCVaBo8/wgZ6nuJc3A0aafacaOF8U1l9csJiOLQPQZwPGemchkt3Bcyi/qpaPrYflDrIn
iX9KMtu7+JKSNLVUZ9g31mulVfEyps6O8gRaZ9Nsknd1XaozjXc9BvXYTAQWeE2JZzbMT0W8dGdI
2/2TsjMqNYxmfjSSSO3gE+S3htLxfpkAjeZstG57SlzJJdnmxoIjzCN7ihQKgUu8cmbYu9L6MCKS
ODXO01u7IT2Q8OkBeyq7c9IXn4Sj5s/s8gpHUxi7JhruqHveLfUjcEVrLcv5pKP5JjL8dpeZ2ciw
P69/RJHFMMfkK6mdPmUDLulp0bl1ZfgFvcKd7jYLOuKqnmJx9jXJmFzXy8ZUnPFrugJ/SrOdtgaK
7lWJnnaqhPyGdfBWmWZEgtyq6aBu7HR68Vu/3rvxCJVkpls0wRuy6tuEhNWIQwEY10uj2hdAqD32
b2E1n0Vtdc+xzL09uKVyFzgzPo0IiCAnn/a6KRuxaYLG22eY77aNIeNQODwpy/SqZ7epjJuUZ7VR
FqnYJq/uWWGnvYZcTL7S8UL+Vbyz/fGalNW3I2LwHrROEdtiClGZzgT+JeEfUCP+MKDd49AcjG3u
SHmKWkXtZG3IB6efP1sp6vuiGb0T02NE+LJCZHXS4cBw4W5RpnPuk5LPxO5JB1FDhwJotSMXVZds
k2DE4MLIZLJrde1nSC85bu3VH7QPQavTU+ckcEYctRxNU/MCa92uiVag+botvcMe+UJhJXiSesoN
B/T8W3jnOEvnerzphAHAQDXdJimyHSTVNw3eaouwW21w4mF3M5sN81vI0EaZ3dY54+bZmOwfzpj1
9JrqbIMTHXR+Hus72yhxoUcc7bytU7rPTqQFa2DMBCChKojJ7ok+iv4+jmZQCAOacHtYABNCrq14
xSo/OybKVTGn9heJ5+JeDRk7fTku7i5rbURjvHHZZmq8U2N7NEwqTINgtR4sSDKicm0C1hGhF7/f
VYvqw6CxP6tBHxO6Pgs3/6xSCpfSanB3o/LsXWOYD3WuqN6bhpuKcdr12Nc0S+BRaV87pNSN0mMV
vccczwBrR6W/nbO543S9NMfO6kCulU44tXl824N6oGlmtMjROwv5pXrKMc4xhelTDDUr0VbuFsbk
BYMTUUpIC1mdZfmxdozhzrBSvWWKUl0nda2uhNfW966nz0lOYLiG2/mRuk39sTRmvoPWlT7jxiet
OLnpdRo1zivPug5xvwuYdWmxg0i17BI0zY+AxqArLbHX+h53zsaeNdeFInKV9iRcYZFczxQIb7Dw
lwfFqJylX9DJ2eTmDW6cfttpFu8sbc6N9TNP0BFoQZ3bRybBFcHHRN3ZYzHfe3Eujzi35qO/+NnR
dJ2ZsFUXvVRLML/25LfXgV1YF0OK3mHu516Y2NnObWgvhUdOOY/b6u2gpf+qYtM8pElQX2VOzO02
me9ML082U+7Edyg7XWjyaq+JeIhjh4fyOnJ6EdLxaj7aVBefSQ46hwZnzDV6JNzgIItvhlLy/9pg
uCU08qVKTSBJlCYdxrFJwZUOwYd9ylIk24qZDbVT6PK4TAF+QQxQbLupiJkPrUuXjdFcqf4EpCks
W686jQXFJLGaZLemhgX4aS/9G0d79X23pOJLpLp8Jb4j1uQTnufIFRsaxLj9aaKyYhyaYEVzPJ3L
eK5WhuuVMEs1jjnHBbzjG86GODC5NKPRD4YYgHVOSxEMW8whyUE72HXNmWh9YUEOW9ySL37UNRSv
TJXnHggrLfjwzBfpdv6d5OdpoTOMcxWQn1tS/eW1BHcoMnPYARdN9VA1/a2BV8hv3Z+VvHT7LPGd
yANvA8OLFDWpUGRt3ufYTwXAENrlkaNucH2EQxzRN9RE2yYqR0xQ1pyEg2EFpxFk4AlrVvzECc+j
6KFIrW3gVl6y8inPuIUAHj37jW/dl2Vn3tjdqK4INk030zS1X61IqYUYNAUbY8WTMUxXfDMxDn5I
UEpXeQpRzE74OSuSxqYhzmutUjZ9W8LDWAVZF+YPO2j9a4x+My11WDPCJvCre1X5gAd1NnzjyCJd
QReGOsawjXYtyTBKkDA2PRkRexLAsYGEVMT9ekD+qZljR+bOpQqNW2Wvo0dXWZibLo3wq3Ys492s
HUImbaQ9hcOJhCazvuK5xkLy2vhLAf+zpRAIFGQSRWFGBtJb6ToLbkENDBiS4M45HIbw2UeGeIs1
tyBfYdP17N7fBcLAfZ7jXlyNYxlQl6YVT56JGAa1JXPCQRkatgAw3tOUI1CS9G3VSc1Je5MN2X3p
LZ8uXsS+dCn7xuF21cRRvO/75bVfCJm1S3kx/+TNvneWOiRaSgXO5XbDqN2/ZGoXfZGIoLqViOyq
kP217TTWNsEUvoX9ih+c5mCyy2U0HYZk3BK9BedNPyt315QI36WsrJ2r7Ai4Qj1X08Jc+Wtx/Xs5
2o+NHD4snRzkHL+LvH3FwO3uS5hBZz2Yct+alb92zdK/LgZgUZuiTstNbVrMR2uQ6relqRoIYMGy
Lwujp82hsNknSVGBZWi6B6PNaYqjDQ26obJxJFVQJlatJ8THNALDWvMU+jsdifhcBNNDNJUO5RNV
9TZBsoQjPuJYR1oav4cs6h6oU9G7eaqNsFLKh4M5x5fynHz+6ns5IL6ScYpdj1oNrJg7rmTmtV1T
n2WcjfvBtOI3bPmEoawe2G4dU6wQB2Q4c3XGehbMK5hXpD4h/hx8PHfPJLW46UjJVAkaH3QAr144
s5rMDRhLe+lPfgaQSUP/GUFSovWMohj/Eoyl3jsfZRay/29PNOVSs+gitYaNHZTXsHUNsUo9wpTE
Gv0drMeOJdetHQhRtkHZVyAfjOkCF/ERDWkbmWsM4z5BNCetd3gpAi5uUkYGc6yVGy1nKxsxdpTV
V4fouJ2czvzgGrbD2RlB6xA+uQMg14eTH8DTnQgMQ8qSxo2ZOBF9nVOT3xQMBU80JFahSOiKqy36
KvtIkn93XOtYxpIaYvMKKmP9ufRxyrQbBrI7GPXDIgg/94pRSgqyl0Nd4J2DgGlrIorgvscye2P7
QK/4lfGPy1L4TrVMgg+shLnFJtc6NsB1CD8YwZO/dN2jD0IQikyX/mBhKW5xz09PoznTk5JCCNha
gDXex5lyJRou8n0Sk9AsujS+tZYYe0YzQSbMlHNQTDxvCXdBDTSgjqSqj05UmVRcQEiIoyfTI+We
7UsZpA55R8b8O/Y8SoV6gK8vyynY68GnuASVgQQ6He7PuYswNxlzeVUHQwthtR7bM+ZBHzllaeY9
4Twg20XnfY+WtvVqyar07PBVPWuZzQBSjdG2D8LnfJwUnCb3eYMou6pSgkk6k9UeUF320rZl86Yz
17RCx2RwgFFjoTmGzXn21FsCWBfQodAtIROu/LLkYCOJeUO+HpJbg97p0BIAtIeoGVaGY1FrPSfN
HbfJbNs4OH64SnRMgkLOzwbtW0+kOEDoFlJAwVmob9FVd5v705lYts+Xf8iBz/ISDMagqvrJH10P
vx6tjyHJCZ/UIfnvkbOVFPcGNooNSRF2IZGdu2sNn+sJWxZ6pWmyv+OvNQXL0RQOy2CfLGrOON6z
4YEXaOD3S6LsrRKUQIeRJbphXVfumN47SdLtCu2w2TWWmWFx7VKR1cQz4TpgKWtFPJRDFawkburz
bvK9cp87huk8l1HU/hxsTHuUaQ2gfG23xFTLwQBrTcAon0F0ZPnzpiCLNW7YSRvGyRQ4hY8WGB2I
G0K89uVU7tUinfticYAdGanG7QjhhKZOj7kvV7tQMuScOWKgGzVLwbL0E4n4NEi2ZUWnaFcPbG6B
hasQw+lsX6NSR7TckaQLATdky0qM2jhMWtQ3uRO0TxTRZ+vRYDA96gvpy5DTTxxaGAE4e49Xi1GX
n8JSw7alXlGsZ+6wcH2wmVyXfrm82NhSfyboQDfmIowvXrp+66MRA4iMoEZwK2QZ4LNx4ZL1pWxu
hYzn27ampXIl+6XYDmIwr1HDYtbzAbPvhrRnuqE6UZ1SDGS3tSmyd46WHBf9UcvPLGuIdOLgq160
RctZKJ3xmHVUA63H0aiAL4+eemt1UG8K5UavjJS4roYi5aCX1g/VAGosupAet3CZPgsbAWpsKRbv
XIYn6Jm7bMCtko/EGRckMIKiRnyfzn7xOOHV2zqmio8qkdYpF7mB8EEkE5frULXbuVq6w1xqO1RG
2nQhKKXmhWaOYZ9x+3qOAcV0rPCJR5fSaLVXzZLlHzXbpXAca1yuyoyPWvbWnWozg9JY8gYSogm2
bao2O7gE0zRTeweWlLvkNCw3mWVxMOA0/GkLLQ+oqzFxi+m7tYbvpjWeTI4Al8igdWAaP21k7VBe
ObKE1qLqnxsVx1cywIyXuXH6PfhlnAJcTOdblC3uDCUba1huto+TzbWQQZuUNNakjO82GGneZLb2
s7XF2P64PAREEIwjwf2UuDQqeTYGKSj5GGqh4RBAXpnOjLvBgqztRrw4HF4cwZdn0TQ0BOTL+Jka
UD3Wg5y60xT5MFw7cdOxBoNwprgr7SbS30Hu9MeBfNuhGd2OcoL5zeS3YPQD2rjhYJLvvG4mBc4S
MQHfX95ljw4X74LSffNxvZ1M7TuvLS/9ik4V0CRgww7MuOoQdcl55u6EXTbRMJ2iWdwaFkB09jLZ
aqSfcUNs7CapSn0MPBxXUafV11xMyG1lb+yoZMSeP2WAgfXYRYSpqWgm3cd1YFji0LKlJdHOzWrE
R8UtGfvOtPOaxdhBaweB2XhUHcW9rW5b26iArTb+ofYpOlux0lkPSuLbR8oAvjlmElyckYH1str7
MmqSO+vCXw3weXAG7J2bKMKkkfE9nL25Bp0k63nPJ94R37Zdhq44pTCfBsd6CF5Hw/Gf6RjDKDk3
ODTkgucT5/FGcO+9gknv3Mih9zaS7crrYHnZscRmTIaiVqE9DWDkBhIIbhCMN9MocxctwZjDwEmY
1lWcr87+zKnYHcbh2PhB+iNuFm7AVDysMTlPpzyNq6cSI+5jHPfLPWxA/5l5fc2RKI3wQ7s9oU1J
zzEGlswi1Fx18lkaeIocVdgP3VwFnGch2HAEUgdraVuQPI5cExPK1q3Oh2rtVnxVAncq0x02wHbH
bTozV6mPSR7YJn6tIHFjtlvz8M4yqjuOvwJmT1CPbO3pTKPEmYJwsBKtVuW2JSxwD2bJ3ENvi6jp
Qx4ZOXbZKSEFMRrntJizW13X0ZUEVrJLalw24yi868mtNEZhqwIrsmQbMbScgdoLTzrK1F061Xct
YdEna4Iw2djvae19YAcUK1F7E8wyb9ChlywlRqPGWwMju/H6SOzjODHvVS2cNQk+eVXOY3GTtvlj
lQT2Cmpd8lNbtvXgN677SL4pOqRsQUJDDw+wY3MWaW+8H8vR3ANuzW8n7qQ02eGrj7P+PjKWmObP
sty1uFxxgKMyI+g6NyN2tJ3wVLftW1hADEPewA2aRzMu8AZGeKOKxt/1mOM3WDt/dpxWvmYYTZCo
MAnORGYm8vKrgcFTTmb8QD4Akgcu5Z2f0NJWRD71DwBfaTZ0luSx6/vtwjjU0RWfMSPb0JzbH25b
Lsd4HJ2T7LuG5C0MYwqKWUkr9KedG5k9/E7ToOWtA39ni5OG/0ksIaffthHAALPZV1i+GC2r0NS4
Okm/LsoIg6wi42n0b2UgvkjkxrveoLxkriAWwSjyzr3ZrOvWu7aXbm8oznc19vNjo5MT2m/N7KDc
gRk514YwP3HFjixNHIftsYSFTIj2iAD2lAcusoLprxk8rO00RewbenWglA96B61NXTMVXw68WTpz
m/dlia+pw8IRGac1kAFCzlijlLS5HRig4MEliUWkB59EKwS7QJf4NSsmWWw9/KMw4Bc0Cwdkr5j9
Ve3Q0iIt4gnR5Tgh6BR4r4gcHikcdjfYOjm099MW31e7MX2sWxtarD5rPLMPno4rInSJjflqNGxv
685Zty/ItLloLTWUACPN4VWUlnhrBnjwHxH/gcuzgfO5IWLz6BBU5qw1oLblM/gJrluFU9cLF0lv
zJYBBVIGnsBzZLjRg1aEddI+qIOdL+0D4UeIsdq+0sLGvFwN4zjvQSimH1gduSv6GV+phl687NFI
l4yRo+UkwUeM8U+sLOFQRacx/h29lPPJOgYGOb4FQZafg9gXDhxhmRVrDJ+XBS6FEyMuBIx8mtaj
xlQ+ewQO+pj7oWcyQmA9DTxN52t6n+H3f+g72irXrBuAr7IFTROWEG2vXur5b6oq+o+5tsUXwC84
Dm7QU8ccsG9uOdet7XoqtsvS/W/uzmRHbizN0q/SqHUzQF4Ol1zUoo02m/nsLrlrQ7jk0uU8Xo5P
Xx9DWV2KiKpMJFC9qN4EkEhIJhtI3v/853xHwECZLX1MXR73WP5QI0DpMC1GkJoffKN9RSjGai1G
koCTlmfpuWj4hiRloV3uVvkt6GvaL+vmzk5JgRf1Ow0ARNS88c7l+a4qeksMBTdOE4ixRrIxDrCY
B5cDyQ2/uPgN03TDRNxsKPYzIbNaH6079auplbo9Ygtsl2gRKtLgQPnBF1jnj24zvRJZnjQIJ44Z
YOma0wRBQflKr5EeUEf02IYesP2wSBAblStWk43VP/LsLnlCZqhkaV4XO8YAJlUNHQP3Jj7l78sA
c7t17C5caexlGdsbLYnw+85g4jLx2ErVQTc+BVWpX1QPjXFKbERqOOO3JEDvzTy7WUlJO8i9pIf8
GJGiq6LolXkBXhWuNJjiwBxOAzC4L0RGaGpvaRu6LBpbI1H2LOXgm7AWbjQP3aJX3PKg1KMXzKkK
jrNp9UTYGfO4/xTVrYlh+akZA4uDFvppYhosR9z0rVOGdZgH7rhoq9NNUrntltLd5XWWTG1FyCoL
ZYPy9uQOe+jrCAHiAX5bpPadtucv8NizY8/p+MYBk/w6Nwte+Ya1HkeihQRbOgfmzZQboKWk5GPA
D2Zgcu9UdGcjDX1jNmUKWdLoNhkUkVvN58cnacTS2kWY7F8Y4eiDa9sDUblwLEBVOgElo3E3ZC+k
Wo9tX9OZUoyfdEe/W1epFxbIB1I/8pizS8IF3hK0nXGkb4EtoHGnBjweVorcV5IXHKPgLXxIPi4Y
TOQrz2x/lEtyC+KHxEgyHzD6bssxr3ZeNvLIRsgPF/DlF/A/u1gAlu0wupBvEbXaw/iAvVxhRqGs
3U2+ip5cEKbGejwWzJ+vZhmgrXpOc4Ic2nzAijPxQQl+ICMB2mRTNMHwlLuWoOjT0tkRpAtTA5iE
K+VegMMmr2sPPWJdEJrOSlgaZbOhHphuiya71ZLqmW6okzObE1YOFAwcpzYgLNCSRwFiCt/tcZmS
8ojxbOy2IvbF0c/MPMc2BAZE0KX6iuE4+bZYLXUTeFuevJqID+fCGmDW4nALc+VwrzPWZgNghh33
DYpHE1EzMjWVc2rF4JShB1njduQccx7miFbdvqsdtmnxBNNgySsudm0KZztqPvLQEP2nrCPZ4fuL
v0soxzqM5Ag51kEHlvCviHy4B7fjBAVLWQs6juGvxi1bRYrtm+WhrD+6NDG+03FvhK3sjWu2nnjH
RSSP+PWqWxuwYlgVeXqfLgtROiu171cWyScnFnLnB4a7BaJcMu+5egM0S4RuRm2Zk+J3ZpeXXbEZ
YSaXA2fnqBkv3HGJuHGW2/fcpQ+eDZmEfqF1M9ZE1uccueEcsQXa1llAdCexyZORGL6BS+1+I9pO
YgNVj4dHlhIC7uHKbeLRSKksAqqGhmRvzdjqN3Vm6Nc2id0ni9/nQ1xb/JSUTZjVWapHF6fUpmIP
FfLk6bYpN1kEqoHoB8mOFeo8J1s/c4unpKizQ995+nMTca+rTJuF/ljibNvMZso7XguRhzAvLTZL
SmpAElX8zcFH++YOfnI3i67Zsk40QoFREW6v7YZE82GYmxjE3SyvwrS0ZxzyPo8cVQ18O2PV+O/G
aLzBTvyuBmnfkDu85weFWo+aFBa5Tu9jwyp6Mp7tOjk4lJjcBgur60PN1NsfKm6ehArbbjjys244
Pq4m9LHwaZ5OE/UiG7Ob1wfRYG7hgMwTtBkpsQwswbUcLFgSsmi/CaBQNpp7JG1919B1fQKBRYI9
M4D06DHFPhMDGnyAi1g/8etKPmdlbb2OgqpYT3ZqpwxX7aMqWu48aoXDRpKVhM87sHbOLfMV16V+
yUgUb4kfNcjhi0UfSyuaENeW+h7A69vWkZntAm+Zn+Cw1NcSxu6ep0W+82TbncvJpI95MQfB+sX6
fUruQ9J6zcUAXr4VKs/P7qxAQ6/o+/UZYodL7s/7ziEbh9BCU1WcGe+ZUt4nGxbTuWRIOnZG3KHD
yvgA7jXZW9rb5WLqP4ygESfiIcTGpBi9PIyt5ApHcrrnF5lzpHbat8ob0m92gFO/jdXyJKUYxs3M
vFNvZ9bHOBi2qMYb/I38FwTb8DyrKKBZS5ZAYc1Bd0/WVHS3TlY17q3pl7ThzQRW0ajHnrRvkBzB
PrFBXzLznipx+ESGV1iAfON8V3saj8oKEpAUzzzDehK3cV1xELEkok0uRq5nLj2SPCwx/SV/iYn8
uw2dO2xBqxujMl5kaXy3sXY+F7XRPFa9E+2NakrWU+1K/E+ST6bRDncgsOUz6Pnh0ZiHapumDyNS
6144af+aUXJz70JseIX8oncpRpSLXVEb1cuof+W28upluX0zG+v5YCyyWztzxKXMO/OQq7i4VzrJ
QnKt2ccwRKRhRmGGbTEkjComdwcMVkdmw0SFDaHCOMT+4Z5y2TWHofWXt0I1EIcJpolvRJA5j3W1
aWxyzsmXNHHVlowTuqxTFttujfYrYKVh46zWiLL3uTWp+lTUgNE5Fh5aW/bnGpIQHFrLenWDnJio
z79qDZAX1gNia3KhYcveo9mm/K1y2le1mZ0UgeD7WjbdrggAVhpx6V/IR2GKLX+M6DXexDMjj/rp
wDEafuhsO8Q309gMoy4tjw08fhQW9ebH8Qcupe8+ait9R3KfRNYe3HQSNp2XHuqm+k5LGHB4D0RN
0uablZNVZ7OzjYvhqlp1HWX1aYJJ6NPYvJ0AtNPnNJvsjeMdl2zYWw6VZ9I65UP9NBNawjEUSmiY
ZMyoaXHHBAcCWyEN9IFFlt8j9xRE/5QwjgtQztx2jn06X4lp5IeZ7stHpC7n2IEl2zta4Ueul4Rh
su/TL5KEBa1wJJ58mWRPgv3Xs1syMVYLSAivqKzD/14q0P0tq/udzLR6p7vJuWEENveLrzIKBJPu
5XfH3H935+v/IIiNjd/0F9fgGkv5W4jk9r34/q//wur9vf01BvLzD/zMgPj+b7Zpuy5mPlOsLa74
P39mQHz7NxtXPbZZYbv2mvT4vyWuQv7mCpOOAgvm+Oo8xHb47xkQ57fVaOsHCNIMYpb5T/W4+t7q
lfzVFypM37exM5E+wFFpurzTX72UzUDGjapF+1BHlvOcKmfZ9jMr5UkStaYnoT8MTfEWZwXBbuH7
bwn7jStusx47DP9xDmVgeTdx5WSf0zhOsF0s3o0VlDI6TYvG+9eJlhNp0nreZ7GMJGVHwvrXKOPs
u8k03PsMV/NBcej5HNhe9WOppP4cLxDgN44t9J0njene9Hk4Bh0pY6fB5EYdhThP7SAeIX80FwcW
y3m2OllvVqFSDTPzlSWMlaCHlHepdZde0jxg4wmztXzOkmgxT1niGBcz5YVC10lRwGJv8ELsENHL
hPXlULiGe/ECwBKwLWCywnggrN6QLP4UTb75ErnzCLMaS88ltSu0Rsq2sNOpfBEfgYo4yHpxUSHt
T4p8upfdLgKwxCbt+uRqFql0wrZiV84kVwS8tt0+GHWVBUSRmeqDxEn3QyHLG/wt2bAx4TRnG5A5
Baw6Pfc/AEMbjxElsBMxuGh8r0lUwN9iVZ+xnJibW6AVLvBP0y/qfSQdwJkqprGoQzY8ebDoICjT
S4EBgxGUViV7X/eyutq4xE8I5pznC8e09wWs1KPoXVjjk/0jhu/Q8LZg+mNgcNpjauDERUcxudNP
2uTbjftAcITwYZ920N8g1RJsmbVZ78m0yCfaK+We42r7MescMSfFQotslNrf6gyRwdKDd4ZlqS4u
OIAH2pbEy8hsfMMWIXVZkZnS2BOIgw0wsUygocNhnRvK1HPPYCLnI/TlAIRdyc7QzeDhu5VTnOeh
lFenTMezq7X5wHJIXuzUGHeWR2sfmHYezqWrnxzTicdjxX30IcFHyBghXFNsUhf0rkkZ311Nw1+y
Acqhb9gC21e3oTXEtAzszoic/anvFlFsypGPFCEaprJlBOD3VD+SkAyG6crG56kwl+hLgIp3NjJn
1dtB60pjzo9KtIKPqbKC27bng2K8oRt8Uw8socKy8zmGZEQ7kUoqCldwEoyrK6Fb7FPHLhTHNT6W
XTIP7aNR0bnhzykOoYTIZt18qWmOpBe5KraNHoxPjdNOIdn9szn1xp5zZLV1Z+dOI0wDBgr2RYCG
F7XO5yjG39MToa0q2RIxlfHVMf0RHm7zzcKNc1t47VPT1j+CpGMisbNdHvR6U9d4xRdnvGOxycCO
6mWx4NnYKGFV4vXFXYQ6jtYhQcLu2cBm5bahuIuN+8RRo+oWkC+z1BtOP+659ZoQ08HIDaGIaRpb
dHGF2+ztuAyHlxITzY1hxjkeAqxkuYMM+qA9KkmxueQtK0HTgFmhjMn/0tPwAzPB1wYIG63ib7Di
TXPL3YS8EsEqHZz9ZYrjg93z4bDqz41pDzmYfyR/yCWgbytwRpM9MtiNroYdMvoy+0jsst/3Vmrs
fS91+VlobLKF6xxMrEo7iNfWycLzEg6jaR4KRRPqBp9s9CL5aFdNg4BX7WZ7XwUFDsN4BK9g5nCy
Mc32+OxScj2YB578tGVVQ77WJhXUDpdCCGwDMsruI+FHe9AWyQ9EGNZnKPZAtxdtzvuV07BLbGOc
Ngsoik1pD/0bI7B5bEAsUZW2ZMlxJoi77yE7sSDpJDwZUnsbO+NwTO1X++oIhOOonalliUa1L2qC
1Tkx2yczt9pXI++zsyyaudkKJrlD17Md4PPv7tPU7Andw4L8qmDO72wRHBflXuAxzlcNJeu1FaqD
ODod+yUzCNcMGc3RfvY4J4268zpzuROA0g5+Wdr3TXmtWTOQeMcJp6nnFtIeXsgorUvXEZ8rUbQG
E2Vt3JodtLCLza/pbsSNd6V4JR3CrA+sszPmb1EQ6Ddid9mnJumrGz7m7KHIFueLpmcnoxHKnLC7
Q026UzFFMeRZnHQj1MJo21P2OfqasgOam6gvW7CvjkQQdkiVl3xenDBGjGs2xrBc2KD7CYxGvroF
9Mk+X4rlKUK+bENKErPPPjSd3Vyzyitixz5L4BfQ1vOlDjmLph9NFvcnqtP4kgrDTZ5yR/ErW19b
sp2415BI9pRZz0dC/t43a4zngxcpbn0UCcyhXeYla01r0uicwDqvTJCr7qKAio087uu22ZNB9vYU
NIyPUOJchdKlqoNPEgBcyawOkRPXIaCA/LNR9suLdnxxXZjFsw16oDizNm7IsMW2dVKm/QFACDCX
NWZf3RhD9G7B8/EyUcuBIYajR7kNmlZeEePTG+F38KA67q1uXLzbHb1klDWmtym0qjsb0AnO2SUi
Vl6MQfZl5H6ahshTtrGbVVk9EP209GlskuW5EhzeNhNwnbPZtd6ndZf1MqWosRhBl0MSdezDFWB7
GXTqu+y12mO5g281C3auc+fgGnTGYAIUaYtPaSvHZ8mt5j0CFcRNVwypRHc1S2cjU7d+kXOaf8/t
nD5yu2IdGScpx3dtvcWpEN6xTZsV2VOvNoVgPynKpjF1pueldofXIFJf13Y0Li2fBXZA16KgLmsw
1LFsrCdz4XsGPjOe5ya6hXvSbDBopHjrRtyLaT2Lp6zlIjn2QeJepjL1ngbwwxuj68UhLQNN/3zK
oQO2dfe1TotbWhn5omYIZKI23ANulplsB83NrCnSnKSFGB/AxHSc90werXAR9ni/xxcyVfneolYu
9EuLQKZ0ppesXoytl7Fmy/LSC+supy2jco1nqt12E5ShTWsK/wE1rLglYsZ5D0jPZ2uexWloi37X
DghjUKuyw0gaYqc4bh0nWQavno3LPrK86mPoxLQHTjyyRva8+aldawv7lFGwFh0+eDNGLu1pgR7i
5ktA9OAygRz+ITHthHXkYiRiJVTQJ3suyTp8nUvGaMIePiw54IvQCObBSC55EaHcgCCYfkSROV4X
5OlkOwEAuKVxiRsJ+OCvxdCK3Wh0/kVFhj6w90vuvZlzlIW0sJeasOeSyvqG2vt1SkSXtiLc1E03
fWAs7O6TurntfVvTaFZ329kyOA4wgm8ofMyujaZUae7HK4fOZJsGpXOXD4J2vprbemUaDpvZ7GDK
5Drr+GvgzB819lF6zro9gCoy/rgQ5GNV15SRNbWJ57Ax2EgNBeEUvGvPBZIb6YN5KpMQgzA7XDdo
lov09Lindt549M3ZNt+A1vjyjBwA6cxj4b5nanB+cMiqWFmyl/rEQ6o5TCO9B9IdVXPGEcnZr/Wz
4GMg82AByOVphPDDViF35dZZ+uXG7AyUxdR95DA5n9MAfrJtdtkV6ELAaW7FQfpFmkC/U1YXbcbW
tZ9zlKZj0aEnlTnVs6NOIZXV3i13BL1zG1VcPSWGdlMoO3mt+RNXUbAdwEedLbet9tcBHb/CW87J
+gkRsr1yvbo9Zy8979tmHh4yo2ELBi7OvwHZBQS49spF7CJOuFuS4lZLYUuZPy2WJ6gjpOD8DTG8
uNpdxjLWouDp1sbsv82yBmYyh9VC4JvyqvuMlBZYiqKLCEIw2VNb3hDH3akFPiGNhXX82cxi3HQ1
/nIgeI5xhqp59p2ehpwsL24HnE35ll3BjRg8iScSvzgHMJuCkRRl7oNssPUVQcW/8WjAeaM8pT/5
aMT9hmoPah0LFWfgy0p0D5YBvh1sQTmWlPHUVkNn+eg/d6waNDsX0EjTCqJjY+zvncY9YOhDVaxq
aPAGYOtwTqP2wF3rHWov61DSFzScOvEh9+mUnRI29ELdE/dlTz6oY1RWmKPSiCZnwOtmHR/ZMNwu
5H03g1cX2zxV+skcW1yhODYPkZtH28yM7JCNxcFYRwxw50c+iCUcqz0cRZyibXb23PKHic1rmyjj
CIrARDrmwM2IDCIS8/82qOLPQTvSPRerZ40Lk929ejE4dmwYB+k7SvUd0zluydG/AfrUbAvaKm1s
MXuGka/Eeq+ZmyKDu36ICs6zwVRfdCUuinojkgmt2OpeettlxFGWVbE+yayg4WJkj+R60ULCCyOv
DTg5zABcbxMMTaEXjJiq8nZf5GJr5tN7MSBS9/FR0wOyxYF1t/Qyux8x/WJNMJcbrj0HZTlCqGUF
hoMZiCt0SmGf0xI2S1T7GXt56OWKbNcOUEu/bn9WvHNd2nu8DRmHUmTCwwRy62FmM8XmOM9mG9m5
99lt4au+elQkIUflfL5+m0vQLqw/F9sZjo4ho0+9JfpXpDF6A+I4Z2BJNRVrE3jBeruIYXgA6VQg
aak6+JTjUHjXtoouwPtGF6hfveFA476qsaZdXhtukIbWwoBDOaqVPHq1migisu3lWE/mtOHBYX5W
ZZc/aVPVwLRaxzMPJMC6s5RScwb1WSWZcqg/s599smd+iqb2n7XO3As3mGxTJLVPIK95X+rEZq8M
hVpPKduGLtjVljl8F3MfC06npg8L0vZh8UVovLFZ52+z73srwrrBtknG6wtXVgLAoCavUBTxofAm
7zDBxNq5lLifRBwoGhLFdNQ+KsHGj61gl5Aeu1iKez53IXP8pNg0vJFGSQ4JCnG5K8hqvfgcXFB1
oQDjNKQP/PT/RFf7LyEr335FrvwPUt8QzQjl/tcYlv/Tde/Fr+rbzz/wU30LvN9Mi6nCB3nueTLw
oBj8TX0LfmOQ5e/2HMZ68fv/8+8EFvkbaBTsHNLjDwM3QJj7D/UNrrQLRcIiE4r8Zv0zBBZvBcD8
or75q+IW8EqofAFhZvt3NMgvSeYqlqMZr1GTCGjXiO/biK1dD8+AJEzV9yUk9iW/B2cI1IxBxy9D
mq01RUc65bYcazl0mxbtsd0uuOi5K+Au3djggitKAPsoOVSzYxx9DBQ7gDLOd0wTNtcfhIqz4+Z9
jpUOoqwTDMmJeN8udcvu3klK8RB0lnerxAx7GJ/ddRJBcmJNTq2xcJ58h/GeT3A+mDUPz6oS+ibt
6Ibwa3Z/Y7pzPaYZ7G+y7vvt0o5LSD4blMXKtF9av9pLOghhx/ViR0sgp4EmuIlY/d8ORqcOzhJ/
Ka0kucxA2eCfoMotZJb2uLc+YPG7RIi7b+XabZzVRL9154Kkm6L5xH5VPyx47AjEwMYIUP0J0GEh
LS39LieD24I0233a1+x7A17TT7zv0SCtW91MH0tPt7A5zazgU+PWa5DR0+Urt/CToewt1NHPU2Nf
ILNd8c8Qwe3PhUN2OjZxkcvG+ObATtxHk/2R5/Whc1Z5E0Gqz+cqFKP9rIJ4ANmZLjsX/XGL477a
NBY47NiddlrKVyhm1xQ44saX27Eb2zDpp2YXqMbnkGIMF7bkLbQK61wU1XyYE+cwGWQfwSTdZ229
Yn6nrkBsoFeZUM7XeTR+90uid9meYL/kijBvnf5L0YmCLJ03qG9Q1Ki+poD3PgM7eqDUGrZui00z
7xv/rigUOtnkzT/aQJOZcrCMUHxEVoWd9nht4+zOtOrkh9Py/MvmGqLemn4gkEDIL8n1R53hBYcb
/mg1wTnrNedkwC7oEkZr39H3EkHr9++zSrJz9ZZHP64eMsmDQY3yfimS8eTiR74kjYagbmaRuA+G
qtkCiPsGpm/a+0b+pYCwctNJ72SInLv1ILrskW23u5OU2V9AauL/8Py9nTKTlZO9hDyO54vO5J1l
OO6jVl1nXVmCEzZe+8CbbTkbCS2/TlYQ+Suojwlxwyv6tIN1IksH3uxqmOa6S72V8+z1SZHvnCUq
qLhMUo83bKTiseWYhmRsFx2FnchD2RZksGmG/dDQAlcT8FA7aGcz0AIAe14IKiyS2yiPWEpClKYF
qjfgDm9K1VKkajhJoY+9FdQ6jEUGbjnNnKT+bGRpi4hqlL5etlnhr6U+ZgUAdmDPeevGqZ6Pfsnh
7xI1cT7u/cnNLaDobes/EbqmkCRD4qp+1FmyBLwuZaN7whM5ni9KDT3oaxGTL2MOWeE5IBkZKo6s
1SG2PWbJyoWXstP0l8Xkmwy/+6jEEBckVXwyshZz5CovBy58UjV/LkeumECnVECq1p+3aUTUE27D
FFdHPJa5ibptUGFGOwk7RrcCvIblKOfDkpmxAWS96/lnvGSpyRWifS6FBJ9GlpbFU8dp8/sY4fmg
AXsc4VHgtM7uvSot0v3SO6W/K0hIqltyNHz7zlzHBzVMQu9ExGY2ZCBfbNbJCM+Hosfsc/KaVuff
GJb7ZB+ARsyIt/oRganBolUjkOwBpj5+DEqIwIzqvGBfZ1tNkJc3WseyP83RhGbW0OSbV8vZM4QA
jpjEN8iV+n3E4kJaMZ6am74iiryJ4dmdionKDp9iP7Rvh4Ky7jnV8jnW06tfptO2K/Fx++7YUNYa
5w92anHbS5S3V2WJdi1ltR+Gzn9TosGgaWtn+WLBihrxv66em/JTZLTbOmA86NJhU7SDvnj8ve3G
0yaeP26hoBmuGqO5fQiMiE90AH4Qemo0aNShU/BubnNrZ8QTkj0nPy22lWS1uBNlmY8X7tqfBu1M
cu/FjX5KC5nbj1HeDNE+l1Dm6aLzLh05iHQzt9qcHt08IaKWOyjEA/6z+CmXVvwBc9FyN2xJu3jr
owE8t1jWBnLHi27PC/Y0qvmGpGPaVvHGSlC/SPt/hX2MYZuyj8oieuNhdlb1qpB3adhOHSYhDQ/W
MVgIDPDOb3y7f5iJzZyi2EsfKHXo6TVaCN4spqSeLZ/eusmtH2rDDCBXzkHw3C35zEm7LfL7Iaiq
ryUrv2OPIf8UsaUh7NL7xbsXJdaDQX8adgYd3E2aQWCjrdT/qoTff87x2DTbliJN6p7sPmInr23/
h58vzRV85vgD9gMYzCTABvbcGQ19KOwF2lDYHgQpCXMg/5GswKeQJYAJSXzwHukg8D4XGHYOyZAI
SaKU8elqlQ31liXZUwOT13OlmlqFHZax7wTHqx+DNMZXjEM9wRgnDraeW7TVhnYwxoAET+OdUSX2
jco7A+ZlVjvP7Gea4lrWk48NzKqQ3lViDOkuMGP/VVYKJ3naBdMhBY4kqA/InI8KUwMRPuE/m1WZ
X8uE2jjK/SL5kreW+2XpeYIQF+EmKYtZvXqDYT6IyWLrl5MWuEG8grItpHeMxoACH+Val1gJfRoc
wToM5n25dfsRziMBtBbpvG1JbC7GTPDdCJbuZYot4xbmO8V5k+pYUnks5tqbwuCQv7aLliN3ySaf
Ea6CMuzNZc53MeCTc6enXuwX2+7chzYd8teiU/zoKqXsYYfOEtk4EgMJFK4kvEXpZ6+jk5EIoz2a
jsnzD7C8Vz5QBmjMd8yMsXgw8GFTh1el1OAwghJX6Ww50xRAC4/C9Z4rJhwjY0mU+BQ9HVQbuOqa
lIY3h0M5Dg8WNebqDCnFNa8j6wBKmAOj9tHhqkcYITWDXWrMONEb5ppPUeGGU+HSEpqnUMTYJO/K
jEuemEEQjpY33GTS8g+jboJn0p3eQ8rJBR5QxH3fA9BK28NiHwOXbEgtEsofUlHckVNjYJedfyAr
SQIWdY3W37Rbrl3kEB0qsY8CI8f2COEEBZQfxNB+m7BhQSefcTH3tnnbzSPxxTZ6NLngw7ZLop32
6Nnr8np49a2+uSAOqZe0a5iviTIRUqs99ey4KlbABXg6kLMi0AGSvb5ScsWcTPcLG0oP4gRfKwl1
G5p77Oh7IXLzzu9we+VGbL84o54a0DEGTtjKy7gtF9pD6q9TSJ6GH9kvszUQ1KzmWapdMPf902Sn
Iz762adkSCzqg8ccN8uoHd1pM4wEN44I+zhmmT/YvhbBZaaj7J4ejvsG+M6hS3oLtGrNXqpc3GvV
1j7qjHtpSGfuSqGfFRIOKe0yuoyGu7zzwEiflBT5R80a5NBkjdXsSSFlJ0u3UblhlGk+FK7UTVW5
0Qnk8ojRmGXxvp5iyW4saVNS7B1mGALx5irB8iA4UHOsohs3Bs3SEdUIsJ1My13mdG0IbLr6Vnfz
N90YEN4JBbKSg7HrsgqyVymOfjNCPb8MZ/c/nQX/i+zDfZWUuvvXf/kj7uqvE88KPvpl4rEBv5pV
paeTU+Wsidg3t+cyN9Lnf/5lfAeIpiNYIrKm/ePLDEtRYl82xpOcML/QsqhSQNCNI//B2/kja3J9
O+v3azk4OZgI+Z9/fB0rMIT2A7c/LX3Zv6frE97TCxOBolyDhgwjS77nA3VbG0cXwv8Hry7+iIn6
+fISKqMTIN4F3p/fZjIqSjRaW5+cNqn3VH/rJ+EXxA3Ww8FA8eOD39BSn1UOrRdzBaWJ08RgBs8L
pwvn92OGpehgXrvCPM79y3QPzrE6eTQu1GfTVJqw6qLRPYwxye9wPnOrquSCCyklsoO0fP3739tf
3xCTsAnnjg8Wopz7J/Ia+lQs84qAx5J0HbXaBJ9qClGTEaCPRxnRehv37Z/SCooHbNj/5Df51xe1
Tc90KHnhZOpJ80+/yZZdpTNkAQCWRC1XW9qcpfWb2apzIufm/e+/wz/Cy9avjBfDtsMb5G9ynFUS
+OUCUIEtyrUC6TQuibFzW/ExZca+MCf9D97VX680m5+lC7NMInLASfzjC4mig47WJOUpoThK38GU
iXhwlhbS+N9/R9Z/8vm5gcMUyTFRAC7705emcNKkxGryk3Ys7xKTmduiSMdro0lg99sMqCHYdBrq
Ah55Y3cHtcp27n2LNuX1yNf/fvoj9Ej9aNtHCz7x9XzY/n5W/Pv/1L98JtjE+WkFCDt8LO6f+Z/K
cBTwAT+BuhKb8lT7vb6fqolh6Z9+HZvL3qVnDB0ESOYfP3uvibuGpB5RjIhhYNtCPkm2qyfoJw7x
v9ts9/+fKOjg0f7lK/mLJ+/uI+lirsyfsOfTB/Dkn3/kb648+RsSs+k4nO1Zi/zqyrN+Qw8En2KB
mvFNvKv/4coTv/Gb+f0r5WbBTMR18Ddd0JK/+eQDuYkEFlcCRXX/jC4ovRXv96srz4O0vwqPpu3b
NAz8rhv+cpOAzNzQgK2XfZ1XDUFkejDKDaF68yaWLTRZiRzWs63dBQUb9J1grXm1PJCEUT41F3rG
yatMJpafwSYpRiyKlawQZDJIMo6yPQDiaW8mK4nlJuBhvAPm6BOySEYexsHcvILsybc9ccMTvQnx
sUBnIFcz6N2w7jUa0m13CSFwzWFXD8HWtR3CikXG+M/m0enHjXDatjwJP3cuyZSQ0EBz63YRKtPN
SDK9Qc8BDk4adzK+R13fsheEkPOVHjA/NE2WN6zNk3PVM2FscGZUVBPY3ucOp860s6iKwetdI3UQ
YmsHwiM2dSwDTWufUp2/jYuZ3CRt8hy1yxK6qhhIuHjtO40z8cURTfwYtdpb7eX5jZmk4jAhO+7Y
uELnBQlxGmbDYNI3T9poqaetymUX8NExhKQx9H8iZUh+42PLIQ5Esw/+cMovApN1qLrsg8nT3fRe
lTxS80M1rlXna6nU/AWUpnelOsBcVksSXuCEcygakW/b52wVBsPOtOlA6foa4afKXf9iaJXQEWej
/2zy3LLIaE4jO1RqZP0XPHrmvUdM6jEY8jw4rc00HZ4B1dxl9jTDoChE917JeGxO5Aj7C6Ra0W5M
qFt3lY85mIQP1muUAPYal7G2qKlGxYudjSHZbXGaVsF9Nyhhh57GcrH/N/bOazlyJM3Sr7IvgDaH
Bm5DCwZ1Ut3AyCQTWjocDuDp5wOrprcqbaZ7975v2qwtiyIYARfnP+c7FV6+kxy5U0e0t1orEQUt
q5oq03Tn0c+5ISmbXcehtIhPGdmbMXCRiiQ5vyrj2M5LGor7Ng6DHxgy3a3bB+MVWtZw05vs+ZQD
wyZaOWNADMTS3fAQLCX0jH5s61m52ntiqtnRxoov/g6Jng4Lyxloc+qi+qBcvziUITSitVZoMD2S
00frptmdTJMFVpXgpmLuTNOK5iXRRlrA5nengtKbilnqPat0cOj9XBy8PB53S3i7WEf5UB/axq8v
hVX0u3h4wGOg8HADnjKSp1pD469JZ16TcWyP+E+zVxxI6tatCb67TtLiAqxu+tG8tqfJpJFtnO/y
Fqd+1hr8yQwsFmRgW+hFTNz3BYkfnmoEsT3ljcvAml5J5C8m2jPaF96vtdGM7sYxhP6ii+GVYrvu
CsdJddH0XB2ZrHFaz2Yf24QsnSssAPWpAsZG05hlRjeZlEZHFjSqzio1QFSBaGPQ3InUv6O1WD6Z
ObPi9ZgU/kWG+LpGazH1m13TY10Iau/sNmzrRzC/Uh1BenqwIgY7mN5gEaX2gyThvZFuVX9SKFF7
8Rqjmtfg1ENA6VZmq1LzGTrgOB6TjJkIZ/IhaLfAFnLx08avR1SmbnMS3/hSeSsWK6xWPnUxKa30
9lqYw/SDeIbJvb8vn01rxOpBwQtMU5Hn2VKQDnqZS5dlEmO3ibn4riqe03TUexV2hktKzXtSbaiv
TLuX14YWFVoE5yfETo98XVCM4tP3MwxsY1RcuoWmOWCo3Q2IlnChp9m+qc1x+qhkZL4WpEDXfrdA
wXmKWGFJ3AVZ3zzq1KKOl54NlxgQ6lb9GQ99fTc7XvSFPxi9iqLFz06PA7dAwTc2UY3ibWHPztJR
wYXoMTUwkpPSlUEMcbcOxntC9f6w9aXEiei3/KfHOLPNTV91EWhRggXoJNaYM1YA4lNcqtJvrGOp
bFVulwSwWpl5PD9mysGeCmW0t7FkeQ6d54HTeXvLreJhHcgwv4wuJKfOj3HdmAkjm5nwwcpC1tlP
YT2vRcihn5H7TSHL4qoL0KIMB0IZyDaCvDYbD5Yt2ZyUl5GQU8RpYUON5SVGJ/wBAy6+6uuQjPdM
QvFNYY321h22ChQAPTbovWAMzrFBhdWu9TEkkc1qwPTncaUpR0/L6aeAxTqthnwKP/C9LCmxLOV+
1/jJjJ2rJdO4J4RiE30vJ5qznNR1GOQndXEvMbTT3FVkFBpGnp3QN6RUTHMmC3x6g7rWnXWZ6PqY
zY1z1I3l6Evh1Ppgux5PAVrYuZ6K9KBRw8MVXAmIl6SUYLwk/b0/qh4JsRPvbT/fO4Mf2NBmIvUg
QAVUmE+lITZ91i1xs2rwqVabc+8dYI4oNnkzes8YflW4djysz4e8n4dkq1pvxlZCLHlmzc76tZg0
+TXqHH64Zq8f+jCmC74epv7Bs0V4bnmGV6NhOfembJ1nZMgSRaJyTpK6NsrAu0Vpmi5zWDjABWhI
WgUupaThfLJ6HtiVBBz+WRY1+iyn82lawoeee50mpTTWJW8lylZbdmS9Ovgxe7Kn9i8GqhM1OkZQ
Tnc2Dq0fbmIPy3cXwTk3Sy/ep3Zt/8jGjPWOe1ffnNo67LstYl1/Y/j0dWOUtMLnpggxS5PnB97p
iNY+uAYQ3XVkRJCFvYTzGrP6Lnc3knQmMhlxyPJGjtBPtsEgi9c2ysVNl+H4WTERYuzXDVPFGSIE
9SPopnttsdPcKAsXW43nzV7TlSsfJCHSd+IRTMZcJf10S2stC43AjblOCqtt1xbWhxtedXuKEkPg
3WuEHrEiKvklCwyJjPE0vDP6fxz/UE8LiaZTtk/yGcsRjfEiYcH2ZtOQ66wv9cUnYMcMquo9HMmu
2XxyCXbztV8NCI9JazdrR7c/IcEUB3oy/Z+KXB1AthGqH0hNw4Vk7+JH4V5H1yzu2vjVjeLuyhXZ
8AztgypZpMbsMpj1j0AT/l8Vko6cLS4L91x2Mttm5ZApskzVJ0PxiK0s6l5mmmyPXZvzng/KU9At
GmTvRJS4eMmxsqZkDDMLL8inXUUX3m2WzjOPfNTT+F3YGYyDrG3VK+UJnVrF1I2YFNJb+mVKSlzI
OYaweGsETnw2HCY4avSSL6aWNo/0sGSZa1XP5jqdl9HAGJftBqm/oVPQUhLDogRu5Zu2x53Sysr1
ANb0aQCCsQI/1e07QrirhqJGQufTvJ2nZM+B9JCL3GMynmXVDkG8WTMX93oqu9B37QA8hwbSgFbm
swRSmCQhFENI4m44rtn3WU+IZFqnOLCjQx8XzVU9xPqxjQK9BuVZbmzTGV+ZLhfFWnai/Yg7Wgfp
VE/sn2OJFSgatlFez69J5H0NYElJFFKKISNrYDoxeTOG2Cmgq1bVXr2PohK6QJ4m836aEprCjL4T
L3QTjeI5aWujZK5ru7f24AWLKALky+6Koj0gzTDL06GCaqbCKv9oYndEAmeBIMFaM0PzggSfu1eH
zYH6CQQ+9oDjmBbNPbx3/RShiMJlIcS4l+jEikzdecAhThkKNNTpYMgyGBEvK5iKlRXqxwDvJ5IP
TM893rzyA3dE92KlOSxPiBjGV0eFJqdOCP1LQKa7YwUS2NuFTaA9z2t5KxodEh9gSrxYt8Nbhnfd
gzDB2uwjEozNamHIvXkpYTZChlllbjigMfMKxuYn8UieDr9noHjmweNgCPW7fg89JR9deElXyrGt
23I0JUacIG+2dqNgLNqEQthnYaRCrTTCvQNC4sCnR8MBS4T6dGjmSw9LXu7s2aCdWGppNgZXpQMm
whNOr00mQQES7koORVE60NGkH79YPmFnWmGQY7FR8Ab2gBF6KEiG+R4GUp1MvPUXbZU0NmNA4gg2
9DHngXLG/F0IO7JXnAlJoIeTvJoiCEfMCqfGwKMfiXCfVE75xSKRvWda+5ciEBkDSlqit/zNoPzg
Kyf13ZtJviFCHyHVRvUTpvHhzMMKYiTVxnpobPNk0uK8CsiDUump9JZVFaiyb1gm5L4wgvvhZXay
jnF7/yB/HH7GYcOj3SVe/kHIMbvqGhdAjp8GI/hR2ZkftkrBqookXqdGbu2aiXsjCZ1mW1vjmWq4
nD7HnMmQnRSgNebqtva9zFrjciYcLrFMrZo6O+oO/dllkYTdIzBaBORw0jyZP/B4QZlvGIxfppDm
bBopqw344/hBlWb+YjFmf0D15P5Hbqa9Hpom0nvLrCiRo0+pz9c8WDRL9oLxR5923RkSgrsdS8ra
VjgB6Y6Y4GE8TIwzFhPnTNKKWQiugIZ5k/JD/4zDHDgdDLPiSSZ2chhnDhcgVYs5WXeVTD49m4w0
yPuAiJFf7pcpEAGvskpoAAvVrUft8bHgDXgMsS88sF60V7HNy+BkBEV3yBMSLpoNd6I699HSxgkU
CTcq2r/8jNV2DJ34AWL4H7HM/0eNkzQMsio6gkmi3qGr3vlNqG5cV5MvIFgDmh0LEPmZgYmUZ5w7
bOIzg4qo+vyL4PI/qKq/Vyd4eKrs0CXFuJicvEVI+avQGdi8lXbTz/u8M7O7Rs/9tUPqdzNXpn9K
ZyyJZjUmm3/9Q/+ux//xMm0E8WDpVLLM36shKMup58jPxz0G0eKKc01/G0e63tgCa3Qzd2rHJdCj
tI5iiu+f/B8p7t80pZm2uzRs/e8GvcN7N71Xf9Pi/vyaP7Q4n7ArH07BGcTk0vEXLc6nP81DBENq
C8jCIoT9U4uzxT9gbvChYrqDim77f0nI+v+gcw2Bffm0h8u//HdN3J8fWhrm/tfHhsD/b1IcijEl
YnyOEeKCkMnE3z/GuWnhuMmTCuChEdwwu9D+jtQP2IQZQkmM//PVXbp8K+iU+SpcGn7dEUC2yNvh
QEQ1xJbW9Q+hw/fYDMQpn2qyAS+WrvzreRbOj9SNJDuFsIEi2tkHlaX2NXT/8VjxvwevdH3B+YXi
jTUYFuczH2dLrZho99ceRZ2PmNHw0XBHrn6BlyK6FXjFo1WYGmiJsE5LPOdWtna+UVjwNn3ilSgF
QbwCppI9YRkCsMj88wkPd3bhVM3zgUE+MGBqwPDD+krnPCfNXoCgoPnDzQNrbXP3PNZFwPkxdlso
OoB7r2G2VvtUUmzhjHmxsVuVb222jYe0h/w4jFl/rRi/bMIIP1sCCx/Yp7hyHKe5gBM1TmMhHJbR
ZLh24LbsBvhPD0Mv+kvdY6nPfK+6bi1HMviUHGhlO9wXFf5sOidgMxXMO3PlXkdUPGHdG5mfjip8
NUEiMTKG+cBg1dkaVpvfFIXdHdzF2c8pc2L37ud3uIeQ8tKs2dUMn2DRLMCD2S+2CIXkDx1h/Yjy
5hfjNS6pVd9RYjqWuX4V/Rg/9RwOOepG8jGMVPRF19IMZyqYmwHyInVe6wloNP5KoSgTSO1ELLw0
BD2HWTcR09kf37Kp1c6Oat/0tgpg76ewbs8hTptt17Blka2A8rNBDQ03eHAmNnjDNgKu3gVQQUrk
qyvgg+UvcxrdQzSYFnPz2sSnDXXuivIBAzHYbR9AqhYbpwX3Dp3v1zRm1d2ccCI2Rs++5EVMo7VR
9c9j5uFNC0L17A9Z+kQkJd7I1ri3vKw5Z4O2fsGsdlelyGgmzlSraqScabyzrOwzSYI31/WjS9PN
NPyNfnS2CtvdKF0t8bKsplcD0wt+dt8HxjZQ3XSPwMFpZJbTaeTKcwOTf0/ZBwYOyp1X2o+Hq6G1
qvdOqvkwcSs/xGmQXHVTkyPrFlsrHqNDzXU3Xtk4He90GNQ3utcTwAlvPGETcl8Tu/OCbT4PxgvE
9vQpbor8WOVav4FGFu8c2MGMk4Da1DIIztpu5SYNoc967l06mu09l9pyHapieMcI0z65o53su1rZ
r83QxIx+B3uCOBGBQa1J5l2ckmQ1rUltcx1LlEryd1x+aKYAlup3zQ1F7ISEqHx+jiDCylVSCnWg
hwzsjgCQs8uiglYrMSG0YjG9j43SjJFmS0yTtosxHcscv6/AyInh0dRP9Bn6J/JuEwA9o76ABcRY
12fWTToH8tJUytz2CfYpOfgdNxCSbOnaaxrvkoP/5a5SEPLBCGd+Bd7UfynPbS8ATsZuAxCam5lr
DcV2qCoKVCopCQ5rT+gfaZdU7d4EW1qsidvk/oYW03BTThk+SQzMOB3sJf+gqsG9WBX6eV2AnVA4
ESuMY5zQNo1TBcG6ohF729s+PJLZN4JrJhGQRaHT26++YyGIR6M3kb5xFy/PNMcGU42C8C3aP2MU
8LA6uerhQr4wO45LgiyxuhuNofoEfOiNpGNi683p3NFdVY1MXkfI5w6XxxyAvA95iLx8YSn/Ff5m
rwnQ2yjreCBobTH1S0sTcnVKyWnC/TXq6Yhq6Fb7vgxsGlsJkHzENV0kq95t/BcFOyDYhkUAT23J
7Nj1tCzaOppYGIm/YiXtq3GnrGFS+8ASS7zFCo1XLxk5jOb1aIBuMiX+NKzspTikqdXA/xRGe60L
um62FA/SsBhb5sSswGCOsp/IykJUsNz6AVgViQcNco3CmKiTH6KbIdMq5XnJGXqx1T80iTDOfjeX
O1U2qDC+SoiNZ205PYg4JwmCt4prPF27dPIgq5HEU9pJt7kESZcrgyu0kG5EAX1hZqSrbZoULOJb
J1KR3tE0exLqkgvHr44+3WcQjxIojpyKNbM5wo352Bb3ae5Hz0qH8lKEzi8Q7d27m4b3iIhMc2Y3
xqExFrW3U6IMT4hi49vE1QlPthq8N0cJukWWzOtReDHoqpRarn1sDv59BHs0uI3zCNjw5JSMSnK/
07swo2gEQRNedV6EvbPy/MnjGs/i+wNX23iWEaXCAs87t+jCkRvSJEKTQOz0F/RStbJDPXK3wOZN
b4t2L0Y+SH/FoBszdk/l+tEw8C2uOh6ElwYr6OO0dJbr0qf/qjQrPoA1nWnTnrj3sI/wP/9QjNAu
eelivMgNkaXbChvmCyMifmf/ux7dAQONLxgkD/pfKE+UE7bPJMtL55j62QQH0i81VXvfTesdlp+r
HF3m1bAL+MLIVPyC7hAXn60xUOw6Uu9+XdFt36962gGfUYvVmTXUfBdmPz3D0giOxXfPe+TPGWtv
ZTtrTYk7AXpashE6qIeXA3GlFRUQIP5cmuNb2LdnawrEj7Lq2fSWhvkorcKneGmdF0v/vGNjvNvo
0R02CWLPxS7ogFzVGKi+WHT7myxySFUREeyfhmHpt58RC9+MvG6OIY4bzB92Yz/QX4y8zqpofNAV
MtGAAxSP+o+wMhwQ4gFHBYADxXsKQLTZG8OAQILtOcxXWVp37R7vGmSssiMaSFf3l5/Axno2dYSi
2E3av8/Qr+KdrwkUdkM2K4jDdX4bJibm4j7yLLl2YtDkUV/aNEBkyZ3uE2YzMtC4anGzmdlcfPBe
kUaax6B50rJnFxggYDqOOd8zUoFTl9s1ykjcLiSpnMLGO8PPiRJarSGemgxa8xqXsn81ABgGVwqu
LT5weQ3Vlc/Ebtrm1Gn3myhxe8DMOT9d+5ZM11aeRC/0oBdHxqhMXtOCvyoO/OZJIazf9YhaWNVT
3veMi+stbq75Mo+CFVUEjrxXJkqQDoBlrXrBndkje8ATH6clrTOTd5XhZGnXDjscdAt38vEBKnNn
1qYC3jzk6TabRc+J1sQOiCyV3Xik0XCXB5X1PptQkgzg4iUKgxTXXjfyFwmLvMUTMvIXapwmPZjw
p9/ztLB/0qvOrxWHWf8UmqPm75tMyYabbPyT9FZx8AoVPqWAPvfJzDxcGr11nc92dikmF4XYcIt5
n+nMPbDTQpgrPRPEQpnBkKBbSIZXEUVA55G5Rwjb2e/pLUgT+QaumraoAuvir6IJy69IZfbJjYz4
g4w+QkEs4beRE79OAlscJ/CV0x8Grv9cGv/dpVHgw0Hi+1f3xstXnLwX79Pfb47//MI/A14WMS6B
A9rlnmb/Ydf4Z8ALBxGoJBNv3J//8t8BL1JhHj89pHQTVe9veCX3HwILE4Es1yMehuDz/3N7tOzf
RBCK6oXDAAHHUYDswpT877dHBa8tcEtszF3YOTGHvNxb9LgZJynNJgneLzxBvTeOzdG1PQVrdiJr
4WmWlV0cYkuls688Mi9YvKp/+Fa/Pazut5+1XKytofRhmWstbkrDcPtbqMWevfa/HbFcr3DHym+n
rPh2zYrFQDstVlqaFnHVUgkfP0qO7IRnjKJfK2WiXC1W3ED56qVxwMRXWRDiusCy21bBvZhhoA64
eeGPs37nDQ7ffDH7tn/4fr89wLxY7F88ehzTWAeviDQ0AL4X6zDF7gEZL+zEvqL/rl0sxtFiNo5d
bMccmdKD5bThmiqZEVdyMXGmT+zwMahDTMv4oy9NgFM5m0qAMou52e7KhnscNm4r8XB1M1t8GrA0
44f+9ka3uKQxauKX1k06lSiVPM5X1renWi/26nYocFpDlnDiqzbtM71nXxlIYn87s0PM9NyA6FVr
NrGxuLenbyd3bC6u7mIIDfNuNt1wuum+nd/oGLjAYblF3SHPGLQfkyYw56MSvZedGHmE3DNIvwxb
zmbuvLOHpHgZGDe5d0HZ9RbsBRAcpEMs6K6WsgBo2rMc1C7y5LDn4Jx8iho45rpsyhD5UZlPLib5
bhOLOKYBWf4Kw/GsDN3eWhXEDmZ0CJYcIw8gcIYXn7WYy0N0S+U4IN1Wk7/tRzqUbJJNdG6nd6Qq
xA5bdoljI8rGVesKRgROJT/tcmDMZRkJwVcGUybVQ4KONK8JHl0cCRw8/dqbNmXaBw+FaUxXOiIU
73Bd3KSyRwzNYcQoaI64jqpkn9NDdRI+JoPl+rYVaXBS3RRup9mcH6OKgiyg+e7JQ6MmpWbs08oU
N3Gg1gwT5ANMlhRipCdvjJiKbJ1rWN/cLQF6MDXApkq6Eqwg9/SYQ40urlzfCjZ8r24zlUV51VHX
ACAjWzImkFXOwEhNLmBWPaHNhml2nOJcAwmPFBMw06P/LFawxXR+EwbR8Nrz3lJtVEdM+2NrnOLV
hLVaEG7TetNxOWJi6T+NaUpr0wQdUnNXbUMxP5XZkH6SDtDbLvCbB1jJEp67yvi7Z9Pew7/z6nNS
PRbGrC6U+HwRBG0YdE8W4Ocx6g+5kWXs1vBrXhpDew+6nsx8zSzAf2um3sTKRKXKURf0LzKaVxuu
EfaWBJLaukOrdqLlWDSHviYaAzW6NO18V4yZWANfKQ6k7E9M/oCpgmG/4DhWL5GQRBNkXNxiXqVU
lMnMqZ2S8Ca22+jd0UPU/1Hw+59t8d9tiyDVEOb/hZaalu8/2RX/z233/vklk78aHFlXli/+U1QN
/yEEnjgf/o3zp43xj33Rd5FbUVm5x9gOG9xfDI62/Q/LhSMKeRBKPMCa/2twRG+1sRGDHeQU53//
028q6r9SVdmff1NV4R6aoSlch53WNi1nMUD+xeBo0ZWKstUHe4ZXFbMoOYHLDjEqNLDrfnJQ4xQv
kvCJIXaw9wyN582J+o2vs+hoea31ye22OnAXI4SGuVmVYbl3yj57K7rc39Wz10AF6vP2Zwt6Dt5L
iyVHT/G1AfDkPggTY1er6jtB1neflNNTUpRI/x5QTqq3YAOcn1FRl84KuGmyI5e4m0J1STOnOFOF
bqJnef2xneMj3jGHS3sldmkT3ggFs6ahbfHFi9vwMzc8xcqVTNG+MyK1syuTpFSRFeNnnDrRm3Ij
dZplRjuBN/Z7iLHJwXVCwr2WqHAhtfDkreISTmlwA+lPbycrqykExgPVTmppInJQCYDO3WqKIelj
IPSE/8Gb9lFRUWE0R2nzY5jr+ittU+/SC8OmAlM9zlKEwBhlcGv7LIIryyX/bXk1Q8kgrSlGgB/R
+dsokdy3JtarPWOzcd3XVv4ioQUxQx/7U5VbP2k5pFuY+sGrNAHxmvqBfCjAZB/tSfprA4CCu4pz
P/1IiF8/W1EM+SiVzlUcyOijGblbrEb8Kb8G4LCXkpv+S82F7cIbzut0CR1HbQUHXzjXGpW82viU
x67hE6HMiuDX6EBlQd5QuCMB4JzafEnbcJ2A2MMoFzIx4x4bmwMfeIc/lFE9OKWVweECvZEESrwM
MVQIBvktcSeou43KzUWNlofGonZOA+veB7HlI3BSGzAM7tCsYm1nNEVETwHK08YFGf9I7qdnOsrl
rp8T+3Vkvz0oi6alwfHLm7TAc7TuAhw3HkPgVWfpcuNHcqtz38Iz6XVbTLxfMLEiBI2qca9Nc8iO
JLBXvOmUaveivNL1HH66jRP/GAcTMy8wkadptIpTgMmATsiq5U48hi1CsKE45wjrDtFfVBBBDAfO
i4PD1ukUdHJH3oROZ6xN2nfxEGfW9WxP5S7T3ggzslDgBS0+takIix+FH1rtZiTRsjNK/mZhZtL4
1VXqbQb5fTaCoLlHSvLPM3yO3aRFt7JHwGWOXHkIJPtm8v0n/E24ekq0oo5GBbebso12c1jQ6AU/
KBkNr3Fdzf3aBZm2FZFG9W2TLL7uaxHf2jM83T6xF36TOaPxVroTe2lreCyRALM8ZRRiEXb7GcC9
CiGCGO3BcDtnh1s62NJUdDur+qc0x1OQR9ka7+TGottv19X6Ug52cwhA9qxpgX/ET7aJzco6NrC1
OHkl3r8rk7d/t3Wz6lmYzjlIcMNgEf5tJBphLtS1ZDlAY7OSFXRyMutNQ18DH8equUL5WmoFoCLI
6qUYCzvZ1m3XXTuzCfYkjip1xhtGULRM1KZKquIcwlcu16QP8ytimNVL3cKhkT6N2/BXEqfc9rhJ
ooXenN+H389z/v1s2wlBsWPFc8EwdFkXtDsBYtCDTQOZcoz87S/b1P80DHb+Hr1Y6BZWiAWfIApT
Wjaf31b8yegdEeSx2JtuDDGqJPeZ2w/UqL1hx89WZp3jrPXj9srvlI+tkPd4FwwjyP22o6V0ZcRu
Z27dGS8fKnBE2NRyOWhlxfCFgBI/JuU4Hf1WH7ixUAk74821VPcWyH5XJ5x4QFucrMIK4K2nP9t2
rNd8tsrbkUaeI3PElsa5goC6KZOT1ZalQ16WKiH6f+1jNXS2txa56Dma5tY6wue8GbwBxHU4lrfK
1+EbWcTqbRrEsANkXn1Y2NCu3RgOaxF3FFfrpeum1/4Ludjo6JV2dDuV6XDP//V33azSl4wKltM4
6HkDnDDYzrQ97TVNHfvao+jdCvR0pJcVK4p2+ojSGSt+AH5OrFPPEFD5tTVzuTzZ5UQU9oQUvV3O
JouvFPACexCEwk5G3VNvueYmtsPmCeUr3LQof788SreoDsvzs9IZWPfGzc5omTg2cGC5T0bvWjfh
HBgPttTWAQYaXs85EPUXXXvjkwdt9Mn16+o2idruFs7/cBI0Rh+wSSVXUSu6A3eyY9kFm35Igo1f
d/26DSQIbF+ZzI201nejBls+6AqscFKY6T5xGFYWk6InZWq7B2Vx40OLR/+pTesDt0b0WEdOHa4j
mOvc2HA3za6egYHM5RtUc33BBNpfzV2f7IkLjOeKu9lVGcC5RU9Kr3x3QsDt8GlSQ5RNHOSB+a9F
N1ArDp/8Bnm9ufOY9cJAM2N6wUqoVC4cxW3XgWgIoWbeKp3UFw/KMf0fFRplbDenEQjNXbKsIvR9
cFzxjwTaAf1WVBeQcEdra3VRgriYLqOEMZ4FnMMzton1xFIllzUr9li9omUds2MzuStnw/hFJXP1
c1jWuqIjo6k7a+UA6lrBVHL33JZYGNX3IslK4WzUsnJ2yxoadFQQAQi2ZhaCRPRra1lvoX1WP8Zl
De4sZzxVumbNbax2eqmiIcAXPrGim3V7P/htfZ6Fqd7w31NtQJAfzbqzduX3xpAte4S/7BZmQT07
GGH2kJY4mHHwmZuk6/57CxJhw+Q4NKaekZrZ+o+TqN0b9AAn2ozLvsYoyabyj+ZRd0/EozsZ+Hp2
ctknVZfNG7CG7KBVEwcfuslctgo+0zTmWWlzJokwsIb2ZXuoI7LTURKA1cOuw5YONYY3djJACRC6
H3Z47f1uNUveIv/71DAtBwiDk8S8HCmC78MFUNRsXSnf3STLuUNwfIzCpF175YKNjIog2EaGGs9l
YTYbbkvjMXIBEfcV/V8NR5/NAOHumCll0TUSJM7GHELawsaaAkoE0PziWjI72n0NMwdWy3NSe841
eYjgvppMOPidTOSOCXT41c6NdTsy6vo5FGq4TeWU/jAgIj5EzFgk133lH4HYGhuDrk5smkwx0GBD
DUaX0MO1Z9jq0BltTo0OX8q6YYEQY4dyb0tiHqeGLr7rXg2LJYtM0AcAtRfBWHATwhZj3mMLd1dG
gbkPEJcf/ZgXDk3ROtKrTZFFAs8Xpg3jnVUjSTRjMTNu3bm2j743Og9lVnu3SFDuGjcfn48yrR8b
el1SEIddcbSNNOvRCUisrpIhyNh4G7WmbjiTF6+BROQhkxw4WIqPMZzVT7uuuALT0ZByzeZB22lN
Fn7lMQSi5gNE3/PEYHcPhoOnmDhrSuNTwximC4xT2A403uDXPmU+c6klKE0OsaWnBsqceDXH4HbG
+flImgLSXW0U6AxRekqoDRz5owXeHf3Q+VtGRmEDwsXFudeV/UfMiOWtUVSUCN8ptmGdR3v+kw9B
vn27QAO3fVl5+M9CPvyG3xds5SK9M1DJYPAWS2EKqpvE8+g5tykvI8Lat3Y9iJ91Q1VaNn8Jy2Ak
2NcpIjUHAGPTgPjdBWnfbpcg5kstc+c0TFJdXJupQGwyZNVAJvhif6bjLMl5ARUhCxyRWAm4A+Dz
8k6hcH6VOvwgHwLpY8Rjvwqjujr6HZGjWcA/RPFr43sG4tOelYeDNfbqp2zEMp/X5ZPpNNaL05rq
MKiiedaumz1HUnRf4NzBMwMFOAz9/AZa+cn2Cm8xKrve0XXqC9bQm4zBLof+UeGxG71tjjW35LEC
902aZAxtxqq1J84dE4Jj4CFEiCh3T4y67MPcN9nW7NzplRZMjN2kCM6jNhSpUi/6aXUgkWIvoHjZ
xx+ND7EaOSiPMAbHxPlUKon2odMaOw8o6lXalekZTSWezqoy6nsPx+8jsSo5rtN67L+GHH/M2s5l
cFXRv2uvhtjOHqpGM6+fCVavsjIvd37mNDgBcDiEWQP0xohcj77dsPP4rkP6XqSDs4r8pjtZYEJ5
fiSvfSiio1ZBdoa31K8DXugEqNSAIsR15AbjcnKooEVvdVhIsPzzyMXJhnpHqfZxpBpzn7r8/FEU
/kvJSTCF9DiFF5qep53b2PXONpX/lrSpubcG+LR4x3O1Qkflqe0m4XENTTIQ3bU8ZoV8xbRymX3x
q+pT4n1mZL73g+HfYGRie2weJW0gTKqSXt5bcTeVe52m82eG1YIgSfBU9hWHasXeTm26udFDp/eB
aOVqSuxxL8iBbFKcPU+YX+mWjiaW4rYbOpakod/EKLV3jR+VoJtxchmbApDRI/LE/OgBQaBmUyD2
kbu/AqOJnQbIfnFbVLV1AZtKciCKvQvOCutO6bSn5Krvgmof+qHxQNmBfWublf7l5B+RXMqpSFms
QDgn3g1YDefQpTnHIqO6lAy9iBzQLynpZYNBmu29VLWsIhZ3jFEam/9i78x640a2Lf1XzlO/0SCD
wQnduA+ZzDk1pWRNL4Rky5znmb++P8quKktVJd8Cbl/0aTRgnKpTkpxUMhmxY++1vpUaX0eofhFZ
lxkSAVDt2bJHNuoWSHWanukqBeGhERCX6JbZ8WM+nUYEskIy6CozEX2LDP88jlMiLatCvbIMr3zg
88Xmhd7ioifr4JAEWXGvdh1jcgTamJUU9tkNA4r2YTLq/rOZOvoD2T3GnYm+YtmotdzhKYn27ATB
0UwIvwX/q8FqStJVptQUFZG/a6qIqZsVkmM6tMEVAifzNKre+GgwLV0ohFTvqknCZIvIYLYyYFBb
267AqRWNNdwzDQP1m+WaPlMhgq0vjRRl61iuJOMJdFXOcC2IINpgMEG8DiiYJJU82kr4FGRmUMmO
CZlnXagNW2pIkm5BpJnMXXW6zxhai50s5/zEpJWrWGjBZxIJw00nGgM0fVuCB62cLZFDmFSJ2wWV
MUdVcg1wHn1MEB1Q1XtE07OwaPB93KvpyQd0QuB5rkzrbt5wbVhEG02LPyfKWOyhXrQbsKwUZGiN
160VceZHkngDjb9eTW2RA+AkV2CBZqGYcZCWWDYJLdYlyE2ewDhTWbAnUhln7Fe04FLyZeOk/ETX
pKi/ybi/HTOMHxBUrC+Fn+nbIGaF8HTySOuGIQNAqXSbCYa/TYaYXrPjyFtE0HxdFKk9UYuGO7Yx
qinN884yxvmEwz4bNGaiWN35s/kq8A5VigZDxMDD2zxguG1jV7EgJCTGNO7p8CHxrpwT5/KlcIjM
jkU6xAtT8dKzAGTtMu07i5AxZVqFgxFwTCJNbAHYNzkEtmHxFngaAu1cg4jXkcEs6uxb4IGPN3uM
87Y+KstS8Ugx1z3EY1kW4XlN8vghCyV5OWUsvJNUOofgCjO55KzSHHBhtTu4rnSWkDvpt5Eiu+Vs
bX1ITVwgApPzAaRRxPmviLYFioStqofJRnZVecz0rN7WIcbPIVuqQ0REnpDOhFYo0jY8YfrnhuPa
ZaPAGsZaVa3ClN5HgCpQUyGIN1F8IE9yP9RbpOrk5mTOA+LJJXoa+ySyzmFubEW3jDvkrmQYd7TC
GpQMj+DO66NLXzdxz318FhZ/dRQ28J4jolIdoTrvhoJ9lAnPk7q9UbAArOBAk1nsd7D8SoMcwIWD
/44wkcEHEZMBi65QXUDjDQrlConp+IzBrajg7xvBasQ2zMh97lfS00HXjWG61ZgF4GxaZK8dTtUk
S2JhDzQIR+LE9yGRGMUCE5eh/J/p2v8bsUfhWTgfYgb2T2na/ut/PKXF//zX4akO0rB605L//vM/
WvLmJ8um5059o0lp0PX+jUVqkQTk0Au3kejzD9PmA/FjVK0bnzRE9ARE0n6HEjp3638wB3TxSVgw
N2jlY2c1TXro/6AlL823YBIsHxj2kS+/54RkovW1libyhoxsws8UOnDMB+VElEvYnRcyNvOVQ9Zg
uNCUPoA5V8t4hSitPIxD5+0AY5XrMbCMc3OW86vjYLmEBw7bBNELZiaP/lTBhI7AGXw6LoUigjWP
KJ4yb8ZdikoAk1ow3g1ztWNxSF3VpRpsEcyUFxrTzzu/8hgGkAO4Sed6qW+T+OD4jrPLJsZS+lxX
Yb6o9rRTsKoyVX+Cd0qkCji00PVey7J6rtDsuVaL56qtG/Hd56+lXD9XdflrgWdBZDiS5o0KE31l
8+K/FoN0JcVNM1eIDbPR8VCWHWDSirlqIQZl7WEE2YyUl5I4x6Vpm5SciGgpwWMR90tPFJKMY6pT
YqM7NF1UrGXU4aCps+kBLVm0on+gb7W5xo2tYCR8Gq38ofZrYNnO96q4TdVZRpMaZ1kl20UgEiJ3
AFkdDIz7zxJZK22PQnFtCKrYDOcafK7G8yiL7+hzFHd+6LRbda7aLY4EhPsaAaLGubqf5rSWZYHY
6AtmYW+vM+gUG8rgWAUXBqe7Vzp0eYJIyxtFSa3hbJIWw5KpTZxvNGTh9yFHn2sWpTpgciuelCKM
DVZoUkGVtGlWoZqorjdF/C1hEYCha/WqWaEiVbYZLZoVkicsIczfXZyuqgtkhtGtH7biRBs6/Vb2
3AVXVHpxC2WGbcx2YNl9pjloY6XtBEpRUEYWfREVg+hCxrZ/kaL92DlpGVwagtJSKyoPLEUB/Yq3
rcqRZLbBeOlBs2UZZCor+SvFZcUlPrXAJ2kyKsjds7EkN9ZSoGNkjCPWHnpwseCUX+0CqYzYxzTv
21iYXFONoBuFrBY4tNX5qAQrry/FyTJr74n1OLbpVSv8z6AJ+nohAPLAGR0K8VLLjl7Y1K5KU+wq
h1lGe8IptHDdTsgxBerXUygT/xsqe2BSHmHyowgRABq5xsk5qaqGraqfOFU4dtK228hW1K/0jsan
ifPrZ52XNdxc0fRvKn0BHmnfgKAKHavuF5ZuqwrPT11Ac+qSpqMfntm6m1CxgNhMRJ67Q2dIRiMp
EEehWLa8DEII3C4bs5+txggnJ736FjoholfjWg+tmIjLQkk5qxt1JlaRVtrs10OrvvRjme8UKIB4
5dLJJ0rGz8CWKapn7DWgazVNJMc5JcPwRaj0C0eNgFKZTckWN2xzGnyD/njrx+6klfKSN4WuClmk
w+2gRP4Tu2m4I4so3hWjR84gTakUyyoURit2BDOpOuV3ncjIncsf7hMW/+ZAGcvOaoxV2JFa7bTF
qqcXu2U8SItaFDgBusJ5gQSg4bNrFMRpQEKeSczun30v6tYmmb7ncDL6yzCrlX0zGuklDFUUd36l
zFEN2igfFRxWnOItPUUSQDLAEZYmFs009x/5S9ItIYXqZQ3zFR+d84iSs1hRG5vHqeOcYbeVgQfD
To7NqBuPmGitiI2dPopVR8zGmjl6prBYexBAxt1SizU0xx1F4A6Ncr5HiY7uxqZiCN3GEt4xiqxh
O5qhvQoq+qSrobC9I4G2CSMqRcWJXwKXKWZNuPrEvMn5bM4QATSlzgkU9dWYAU70kSstOmlna0Ox
R/h+RlvcmEbnHNIiGZa+lOGXXAQS/e40cqpv1Q1RPMmui3RysWuCK/Upj7ciJOw2MYKelAfQETzq
1Sqf1/RsRE1eNsQlmP4gHxK/htMYBrLaGIzkUMIn4bnCuneWYnm7cGq4poHhda6aV/XJYJ2/LP3O
c4nUJgK0a+NyY/aBvDRbGd9g5A9eNKJHGCiFMRocWziHKR2ireqo4bbNjH6TSV/Z07dBTtiLLOco
yCzWLfo0OvONtI9Xmt5Pz77i1NsoTsMTMiwsjUNz5UykvxKCxDOLsNURD+zbzgE+Jed1w0DINKkM
CSHRwqhFC5Lu7aYeswsm2wPtlTz4FkWxf+Lc5d2IAmkYTwd9Gr8HuaLUlTzXkIM+9Wlq3nH8ILVC
neylg6RpKyV2FcLvNIV4G2Yxi7Drrat00K0jQZ2mC12iP3aVIjHHBBbN40jz9jDxkFyrfo/eFoSL
D0IB5E3n4/LRmgbESZScDAumdAh/XIMHE1QvtL/C4FxY3fSkoIFn4omTBhRMnBvLCLTqkUQcf+mP
sxYIlemRILjuQdR+tGbKg8yVXWzTOWk+r/F2UHCmA4MKmRxFSawX5xOuPrIFnFK86F2eIbxk+UV+
TqNftSc8sq1df/EmG1rplIl115fKfrKn9iWlZ7nOtbq7rpBBFQsiTGFD0rTc+zSkn0TIzJOzlPAv
fIKE6LYnVbguDXCRfmXqu7aVkt2gsNqD1WvaoUuZEzqK2hLTEIWbUeasdAo/s4PVwait9IbLyA7M
TTNxBq9Nu+TdbMrPXp/BQWI7QU02ett4yOtTb1SMT23Puqkjp7sMup5OVjqyX9NyOdgkzzDQz8hw
UyTFQM0wmzg76+iwrz6/Hjz+22Q18wt9yQuWQ59+z3/8rx8vPMO33vyf1dwrGq/al2o8vSDna36r
S+fv/M9+8Qe661eKGVVjqIpK8wPRzA3sw7Z6LyP98WO/y0h1wuc0TbVnGtirnfC7XMbRPmnINwVV
OV/HC/xHbS7kJwOBKQYefgQhqeBLP2pzIT5RrCP9NHSMHPAa7H9Wm78bHNsqNkjJGUGaJsJU0IFv
5TJFFiugbem4Sk8y9I6BHii9vU07zNKaAyDaZALUge5ZGnVMeZY3L4MQd5Ft38NhVgHD0gU2yv5r
M9IMijEukJ9htq6iaAo6mTK7jgu1PlgdAXA5S7o7dTzbUxldmYUSuz1gry07nL3w/eLcKmKxqEPo
wmNu3IMXKNdmO55yqb6w/l9q40w792FVZE4kF0RWfZW+fk57HWdkrpSPQV6yxJgdTia8uGBIdI9X
9bvHsE62CqyvKomQszeYKBYwRC5x/DiI2AxlpZajv9D0iCA4DkyHJpLTvlDYK4PMswYoMDIlRCEZ
bxlR3qhh/NQH1T1jW2KxOkbgZ4CtjBWTAM9tcoBlZLuRki1ke8K1hE05lsfC1IadiI12PXlj7qLi
UXC0a2HjMKwch54wSI3wzdaBZeubNKN164oOkrpkxrUKyjrejGRgoV0tszMrYtlSBpQuekmejSkr
ax/UomA6VQqGeI61w3QFZpNJ6zPNocdqcIKlnk4gdPuunps3/FumF8+t6ShnngmSzOmZDYQ0HamZ
DXk2QdzANJm/RFrTb8jTti4qNXLW87Fm0UaaoAkCDz62LFpsAXlwxB5U+zIdxIngyK+450MIVkN5
0ZPhd49h6V7aVJp0GbCeOJEKzB+PZhm3IEdgZUyjEi+Bln0L8R1trdx5dJokds2Ob5+aZAzWPcHY
K1bPfU71u+S7KN+KCgOSldyEpnljNXW0t1WGhak/hDdMpGsXGUzMoS/24WL5yQmDhb2EpB4vpxj0
c49Sf9kU8rOlR4QY+4pxRgT7HZ9X52VQs4ajaJaSrZpXbtrAwuuK+gZuzE0wEuqWgy1Qp/o2mmTs
MpwHgou7ZTEoVBWEnW8j2tqaUbDHzIxTtKGEbLV5c6v6sI8M0z7BrrohW/wy09H0coIHIxEQ9VV3
0IkWDiTVzfAK2I30GbabTug2GR6FYFDGqriU5lCsNENRaMjFCZWKYAok2XDTUCvWJp9Bwlzrbg9/
NNyyMSEnDgKWM6feMOs4a9XIAyWTVPoBrFZ0qiNpb0RB2igkmFvNr4drdG/+vseEt9UagmwbaeJe
A2kXh116m0QE1nKrulVvjB38k4gsQKdVvIcqL2ZGiSiPnD78/TT2JgOozpKM6gxCkFqP82NRZS5w
JARB5Nifm6kcrvxhZniiu1oNfcvMvTb3SAn1C7Xyatf26BwThhRe9Rq+o7Gw2wsVWDUnYnP6gidn
GzYTzkQStLcALaCKFZN25cXN4LbKPNgLhnzdMC1eMre1lp3pB27czAc9BMaIwgODCEmUuxi8FNV0
HSY/d2PtmJ9bv7W2pT16d8AkPDQ+VrQ2OhUmurQCoqZKju2WEX52CGY7+nlJ0BocPnFKAPOcE7lJ
68NJojszE3dqUKEXMceFX/vZtqiHy6LpxEsHnfQU9mbvKnBpIV11pgUqHbI/jBXC4evimR5n/9Ih
fr+wACzsCTXut1AVSVeZk5wUK4kRdvt3tkyKc6WyD55CI9syF42vIlvKcOWmo07mnlIeaKsQasjE
L3Lp3HrMGQLrIIExX/aTVxw9rYkuAmSItOXbY2uG3SaVTXmXERS1EDROiDMZ22UwVqoLdA3oFalO
S8xN0eeOCfQaIeR0InDmamBw7QqbuQ2a53BXRO0V+5Cya3OvXBuq4T9XeTpttUS5YXyjriY9g+In
suYijzlX2vYUkoVlI0US4XGwgxi6n8yvjAg9TxrSqqg0izQDi4JTH2zPRdc9IuTBd7FTDMZ2jVIa
JGrZ6UYloew4KE2+UJjRL7yUVkBn6azCofGiaThGHXIBltJxrtLK/BIiY4DzzVFBOqBABhWBM70U
FDD0sVYdrosFLXLp5hnGdkDT369BgNkDXN8joGgccWd3PM2JIYDZe5NzhsdfcOTmwItHS/f7ZwWy
ITw9BGcU4/Y3A65S2qO6DLWt3RPTYwv7Avydw0AvZnZFOdifRB+0684msMJQopM1aMUZPb/otgBX
sSoRLK0cYhKYCzMz6clfY08g8UJxHqaJxN7SKb7mAx8os05uujK2SDQdezdL1POp47TjlAwQCjP6
XDeV2LWK4iyr+U4DZvKwEfgC5CNLT+NkXzMxPbdW/thx5uNNnVCSJbB9VlYNyolk5HA/eP5lGJTV
mc0JADOnuAo1fCMjChAAVZ1wbRp9C1S2TMwjS9/WXVzd+OTfulPtc6JqmnSrD/mTqrAKmWkMnslb
mY3xPGYE0Ejja8pZCrO3li1D3fjOFvlvq2R/LmT/49+pIY1emyrz7wXix6cY7u3X/uWleNOI/v5z
PxrR8tPslYIIY+pAZtHk/d6IFqjGNZrQbGSvhTBf+dGI1rRPlgr7FqAGvRS46n8UuzaJ9K+UDBrU
YBRQi/2TYvedSHJmxjA7tSy4T6awVW1uwP8sDTfgkwaVnqFa7dO9k0KO7ml/+Gn12DAGWtDDxnEy
M92rFp+OP6sG1VtUsOoxr7t7vY8e2qLCcTjNmu6u3TZlcxnRa1ryW8wQBSV0S5LalpWR3Dc2J3PV
ie97I3edbtxDlKfJ14IM6wtlKfro4qe78Rc6yLe699dfztaRf85gXw4T8t0vF6lJ0EwjQTVDGrka
ZWbsfcuoFPCrfZ/G/C255P0rSe4kFQoqe/5Ipg5v30ZfYfHt0DHiXKL1Sm0QkQE8NrmrFb778S81
+/aKN7hiOTcVqHNN3eAfYh4t/KTmp53Up/iNFDczuy+WR3KJlWZ3zciEs2Kx97rcXyZmRzxwaRau
1bX1UjUBECH3DDBF982W4etGhoR4oirKsvRMMcTkGkZ17yv9ITetJxG40ihMlPL5czWk47LQmUUM
WXkcpc/RHt3+2tNVGl6Ea+poqJZNR/C1VMPeDbzxyeymh7IMH3XAkoskVo1fvN3afOfevQcQv1X2
CxPrIOyZt++BZ1hBN+qK4+a2vQmYQmvpQPkeNCSrIjzJ74vUpGfSISxGvDF7u6HXfiWc4juH6G/v
++sLvb0Qa84kIOMBhJ9NEuvbC6GKAqLnMxxMGnoJWsmmgaDj3vbrOec0+UKlf5ARDbUkOVQtEcrG
eNV5kbWhcZtAZBZXeltdz2ofoCEbGo5PU+Q/piOJr4lx+viTI2bs1M8XCxeKNpGN9Gzm/7C4vL1Y
nIWoUwBarFR1Yv7LQNlS+xvZqdelYuJ+4ojQguR0zO1ETGNYqrdQUQjHolANmDZVE0JcbSLWFJHC
ROBCwBmjL8jy/Pg6/3R3uU4CTwTyBB4lbDXvlNuGX1pmGFqK24XJNRHWRHOknDXLfrjojRaKQI3z
IupB0ZhABghqfuzK6XpMq1WLj/7ji3nnKSWy8M212PN7+tPThkZPSxKLRFWP2nwogAcSIkq4KtAZ
sal/+XKva9K7e4Qhn0+T5E5Z4n3zwdJntgJWAFdvkGphG2Cc3FQuCT58KuS15idibY9p7na5EizL
1AovzWDcSTV4tEZkExE5sSsfLi0NuOzea8k1BV+eRvXNFDLLQ2ifLMkYGxC9hlcwAykMIwir+nSk
PSq3kcmgpiDSCIO+ILc711YkTB9sh9BRJTOIvJPlMSkVf+3R1VsUTl1vG1sdV+STTWg0KHhE5eur
Rp8uP74Rb5dYpqXcCFMwemWv0iyMP29vxKirSZ033AjmeqtJ+uuoOB8im/SIs49f6C8eE8pEJsC0
THkh3Xi3bRgTHYPM45nWIwuYR/ySGXgXOavXy2mOWHDq4C4a+mtZTruGXow+igfPTudes/dYeUBW
jPorMUaLTI23VcJEs4H/niebj69T/vmj+fY6qR/efDQJRvJFQfi7N5nHUevXdWzhqYzSe48NmnC6
DhhE0UEXVYJ6kQzZWTUUIxq48t4nsoWmyET0oqwVWCdQYOm9dmdVXaVuBFt8izrC2/ilKfcTk55b
2CT5siib8y7HDiKLtka3BMlHYejKR40XNtWOuSLRTviI5NwyG5sFYNbZAty0tPnzu6GJnrygwCxW
9OPjaLS3gh40xMGg+5YyFWNO5Fdrry39A5SraU3y2u3H79mfP0RUO8jRKK2Y47ODvH3LYqr11tQz
B/uzh+clZhHsqJitjVeI9ccv9S6oY/7AvtYclm4IvH/G+7hRTJ5lW+u543Zi0vdtO91h3NEPRQUD
BYsCkXQl5/NsPKv9b76F5ibX0ewIhw22b2iwTKNmclOM6lJzxl9c3Fv5weu1AYzhqaWdytP0vuyj
5aelBh4dN0qT/QiSw1AOU/n5F+/A+0pldjZCIxQ4vmjmCutdpVKJ2G87MyHqFMk74fXMwoyQs4uB
/S4Mchcx7an3i+IpKY3PUT9eGbWOEzFHHiczspgnrOZlFWYcpIZLZp7BMVFoZFSeJX9RUPzVlc7Q
gDmkloQh593i0jAESgaDpFDbzFlVQmQLEbmIAYYYn4nowgystap6Bxud+cdvEpX82z0ZF51AqkBy
CbsyM5C3n0j0682UY2x2UZDdEhfBEsNQwwGimAkaYiTUpeUvXlL7q9cETylM6bDDklrz9jUdGLjS
ig0sZqW3IXIWU2JYDPtCEsYjQkr7tP0SxN3nMpBPUWg+iUkQfK48N8wqloGS5+f2kH3jnLrTcmsZ
RjcfvyXyT3WKTd8divO8CJs2T9Hb6xuUUkMD2SgQ0zFUQ17yDG/tRTwu4KeI84snnKF8iPpBoPYM
9u1kPtZ5Nawbk24bSn7iQiXtge5bFICeHVTSBPJyQTzUJd7NDbE4bFU5Ys0i/2Ky38Jm8tcdI8Zd
zpenQvZ7ODEkViP8H4eWSCejfhlT9aYd5YNWwycYs3VHEJ4Ed7nq9Cr+xR2y3o0gJI5g3N4zWROk
J67dd2VlFiKxtbXAcqGI3YjUuGIKtwVcrWBgA4UPXKla1UZwVgx+stQ8/ktukFkyJvWKlNVTU/Un
CZB5qSp4sIAGLwdRscFbwAYh9Fjo8d3UQZag6dXRrxsy6EcW77L311VvarNbDBqO7F0mhoRkglM1
ffu604H8ifBMI6E3TvAmQBnsIuYXvYrXYQK0H8xqGxjJ51ULtYIL1dQUBuBwHKLoGCdoVRAmP3VN
4yq67s/tnk3TmGcQ6Dbws6fV4MTWAo7TtJYZcpVBJ7JAUbWF2mtoONPBxXtPuLysl/pgKgxsNRSY
xZe+8i/y5N4iVjVsXj7+MP5pk7UZVXFItzjazXqydytDa2ZeZgFXc3WxLKetYW3nmAo6t/mPSvO/
us3y79RAmeeFusWS9vc9FPfpa/X0r6fs67/On/yn6l/bp+4lCd+0U37/W350VPRPWNxpVswaOvof
c67UD7c9g8DX0zcjRWlzgOCx+Y1Cg6We5gseGA7Nxuuh+bfpofpJnW8xI3FQJJA//5Gy732BYWBe
ZdEicIwrmUGrb5cu2J0gjEgWXuGdohYfNgQ/rDWM8/Egf1H/ae8/msgXAbVqTOlBsrNavnstP1WK
vDBqb8W8AoRndxrxZVEDrrPcWDPWf0g5eDf9naOvFWu6QMatLgP9PqF1KcLhMCRMRWgf/nT3Lr+f
VH6OHHwta34+wLxelS5mEA+Xx4nz7TvgFSGhE2nprYpgXAEF2CXmLCQkLlXzqxWsgKWlEHRbmWtM
nAvH79zRk5hSfKTtDVC84urjCxKv7/m7K7KFDp8InALnScbDb+pk8nsKxVF9b1VPbbAREXkemSFP
WDe9i4FoskVhKMlFkXRttSCcbx/mWTo7HBlXxmijpiBDVpQZV7RXk4Pe2t4Bzc2usDLCINuKjbp/
tIYvCQshK9vCzLMzExpp3C8GYGpjhkCvxZFnKhiNVRoSDjwzIo3zyS0DY5kJ40ylmeMU0RpEI/Y7
eebE7boNwr2pnHqRn4i7doUvoYkSdGPDrOfQ1rcOxwuw+aa3acv8WJtiGzKsKav7MVV2Ch66qXtW
soNJ7sNC9vp+xq8KuY2d267t7hDqFOwXdYDS29rJhtKj3dkjEe4dwPkKu1idoKPyiVIhly86T2jf
E6a0tI1xlVrenoxLN5YeXqbkOBr9NWq2PaTo9VDrc6gPTO+0WZeRPa4VcBLgqVxBULCCLb+V1VkX
mGs4YIMFNxd1eoJuvsg7JHr5osZ0YTv7iFhVPBI7LSHfCQmmhqPQb5JlZOSQVlFFJTVvDy/jSOxl
/SmvjCvu5yJS9G3bAHab+s61jAE1ZeVqJUiEC0H7Kpsa/HqwiRToiqpDycOT2dkrDk1LJbyOISEo
1flYkKvsBE8dM1Apn7EvP9b1l6wi0c8Gdeg7F7XHEHq8DKtsa2toI21rHaaIsby6PVcdo4DD6z36
VqqcjUxpXKuNL8i7ZmQxDXkDY4HRUeM5lxBH8y8+YBdcgQVvWtqR9EifLXmhwgiuCEIFuo/Qz1zo
xvzQEGATzsRzq5fXFnrdz2T+dvC1/fah77J80eqOv+l7C+YPuGL/FpJftkyApZJ7kzENFLEGC9cz
2vSaMUa71lBzuk01KcjA+jnFCk7p8AQ1INly1gfuM5SdfxZ0RXjUW/3CqGrzqpo669SItPx+JPmv
3v7+30vXYy7APvX3O+Rl+5Vy+6Wqxp93RfH9x75viTbqdPz+JLPQErUgdP+xJRqfOO7OBwtQMpxD
56/8NmRAIi8FR2HBhujYQorfFTUawG92T1qEOo8muvp/tCfOJdKb9Zc63mZ7stik5pr23RHHKJxR
bYu2XKGPffDwIsJzJKaHOTKYGEb/8asxybGOyC++/PRO/cVu9H47Nt+99LsWiYg0yNZqXa4ggiMT
COoYL+20LWLvuS+1XybEzr/Jz7/pfNSFKjMz6Ohdilmj9HNHJvK6iI4k1sAuwizql7CaHGTj7mCL
eD3WmM78KNpwp8tVkrTga63OWiKuMAActPdo8MqFnPxb3I6XY2OdGdHAkJUVsFG9u3KGncclZMcw
jw4aRp3Vx+8VY6k/XT5tEYzXjBcMkjvlu1pXVGltmV0pV0bccNzQdfgEObl8pGVIth22RAY1I+5D
Iu8unTYKr6VnXAim1fQ4iN1Q2/I+nggji2z1QZHZMdDlhmSvZ9/qDMDL4Y7xELEzPd8r0h5t7Swz
9HugQzl846U9lju/FOqNkqkoCL2kgjWduGPnL6zpaszVZYQBszOCkzSirT/2zzVHirgPmEKn7uB1
LK1hfIXu/lQkI/25r+Os4cfW+zgQtb6BRju60FGts7xy6FRqUK2Jsm53dEVBANUzdcDmlxlwlslK
0zciEf6NGatXmZKAvXF4ZR1+3REM9vgUpQ3ASzhATL4asi8gDS1kmZGwwYmuchGQhRdjZTFES/py
q1oxwRUW/ExwNs5eYik42jZhENKJ6kuwXhKdYp3tmzq3H3VVWIgaw/zCRtmNz6iAQkN03iMCBWdl
9IF4Loype8ERre477dCLoD/v1QnGkmrX9TrS43xNFTzts5aXUE24cF2mrZXMKr6GYfQ19HNzB7zb
QfZe9msYIldKXQCMHYO9FycPyEX3JXpkjFIEknBrjHqsthqg8mUReeG2T73IJeGiPCNTaTW0+Y2V
cL8//kAKFqA3jxPpIRIRns6AlIQX6/2ky/FzrYTJpq3aJMmAZuB4z+YeZBAjdqJepKei3wBuHo5T
0CqPgWdA9S3sEpJRSE2Eau0zvlIKIVL4+ra1X4bMHq/1WE02kJXrpYl14xToeXyHSa09swZP/fb6
K/z/Te3XSlE2DkxSH+xr7lP6lL2e/Nyw/XlrI+31xw//OPDNxzrBf0Uw+GrZYl36ceBjn7J+Pguy
vv9x4OMrFkMktKSasNnCfteLchY0dTY+Bojfd8V/MkJ33n9KDdZ7RmoafyRBx+8nNgXUBzJ5NLnS
ovBba5nnWPs3hencRB4oSJV02GREL9khkwt9cVVM5oNV+cQkPgbYq/B5+Qf0Qbdwhzfwg9eaoqyi
4xRV+wbs9EAugu91Z0Gv3pZC38SNvy4mYxNNFVo/cNdUqElx0CpMsvba7PnZMjsmUbWVZbKLTf3K
rIxzw9Q3fSmvpKedk/omTP958IP1WDgrOymvbaW4ngZvRVLfUgb5Mk5VqGTPU3I9zkme6bQx5ihE
Mvqswt61fnrUCnmeyeG2gF5dNNklzaxVMY6bJDWRCjTuKLwbJgGET3jypjb9bcVwP/VI57MCJ6XI
r7aTxxyBGKSrxre2eoHqPjS6x6ZyblS7uofSMtB6lRvdM3eY8Vf0Sb8ojY6aID1KfEQ/ffL+ok54
ndP+vHO/3kQMeXQT+JwJ+12hwOxQ1ADb5YqmvOvD6kyt9Ihz4MIYxwurUmqoPqgxJ2ulMFLruDMf
X8Cfhjlz44A+uco8m+EWMYdvS4ewJEkBZ4C3Aqk+FRTcmFHWWPC1BaZrAz2pwLkQmxsiuy+jcrrt
slA/0upQMOLoqNgXL6PeVGtmNeYSiRQJgPBNVl4+wbmqtm0Zx0sTz9pOpYGewqRbSiNJ3U3Wjw4T
VPTHdp+sMHyMEOEBYuQe4RaOfiiHKloEAGsZrYovI3h9IA/TVauGm6kOtSXP3p1eigOK4DM7ag9Z
GZT7HNfY4Z8vpP+50v9vv2tetP8vE9Rz5lUpwj6q/bPo6fnnxfHHj/xYGc1PKHio7+eGmIbymU/N
j5VR/0Qhh7yeIfprl+yPlRErK/xmDK5MHt61whwOCyy0c5OMcaupin+0ML7Oxn9+qDh2mBw6Ziqm
wZ/3PGbf92MzzES2aduu3lZa3D5loQnVj6y/Sz1R6kNfqqObKDI/ZJ0dMD/O/F01QOtw1IzMB/Ji
b+1sNL46FXS9UloKH2tVwvGLhoMSZwGDYIWBgGF4e5miavWH6cls5WUOlkhv0e6aQ3ogNEC6FDvW
woIvi0gmJCKYSDSgurcil1892cJYh7wS10W5EbCG0JyqNJrLgiPKKOyQ1FdL+5wYIaL8kqnknlDY
7KyIx+mCfK30SxtTm85DnucxhN3A6/UXnHqUtZCKT0liSv8Wnx2oBWBLSznSHa8cL37kjJ24/sSr
eiloOYIJk+Jrp+odsIbcv5M4B3dKlusuQ4LOLbP0CsNn/hSPQbOPtDGFHGAPFy1oQHyvxgA3tiY0
d063aC8DzH1bJTazw/9m77yW5EaybPsr9wfQBi1eEVpkpBbkC4wiCTg04BAOfP0skNXTyWwWaX1t
XsZsXsqsqjIzAgiE+/Fz9l67isee3qB01Ip+XxKC8DIfJ+Jc41ape5Fa8UUmNjHiSId2+E5viCIe
Hon6iV+bXLQvwh3t20InqaHS/YAslcZaKUTNm8KNxD2DMhNP0/REukdzk8BopMJqnEXXCkCviASk
fb98GolIJzxYX3A0MUHWcYacskk/jU0tLiTZ0BkComIEYTV6wz1FcYH1IXmNbObpswBXJ3u3eXHF
hOTYnuov7owhNJ38GQCMek7Mep8lDlNW1O2iNoxbdKH6RvhpdgMGMHhZxOFnY6rtk1W0iwVpzr+S
hQx9IkN2G8o0cS4TuvNLOdfLSYY+4pfa6ZtdvXA7pEItniXteIT7FBEQUjZ7Cl66hIZvHHChmlfN
5L1G7ckwXwDD6RukdsG91IrqmDtSrmeGCPQBU0yPczzBz6B3W4L7NIApxG6VXYJkRnunzdOjOefG
NakRLda+qnk25Dxd8imIQFAN+nkymwGjREFUiTeMa2IFBJgK1wRJM5IBEiZVLfd6EllLFEwX5pr7
jck9OS89VoHGbIKt2wHrSypTHTqK8QvCxUcE8c06yJxui+rG31Lqew9Bpg1beF/5JzfRmFNLYQmA
SVCYo4yQ07QFzdPM07SdSw2D59RXK22CT+3CQ9vY8yLKB15yVbjVtDeb3tvlqV4cCjKHSoV23yqx
jflzfRVRIayd1GcS74bepOrdHA9hzdCzTaMVUynwL2b12UmmHTGd4hQ7yg/rXs9ua8hT2xqr3i6T
mOyMzAY2tAQsA1xjUKv7HzKhJnp2ejmAe6ZJ6Jb1B9stPpdzDNtQnmXpfUmH0r2ZGQLua20BWRpF
xOKz/EUYetZqNMZ8Vc93o7TvfNyeoH0obziLT/dxABPOGmliE5bcrJQovlpOdWnFjBeiM0ugnzRw
K+A6YMdGbHtGNu/azNXJP067VTWVxkmHdXqsoENu+q72XjtG8jgVSIhqe4svE92GTUR25D3oYe6q
sk0Wj0Ct5DA0qwqgJdblvNz4xrRINOdaPcdAxA6WlyJIyzgI0q+ojsrTxMoD37sbqnQ64B5UGHs4
7h7kHM87crTmGz+enW3sQQqIrNgj02YCEQ9HN5wyJ1k5cxlQqCbkugRNvtEiD3bw1HO47x1/kWFZ
n2tm/A0/XU3nrtWNVaF36ohTMXompnNeDVVWn7tghFbYqPJY5hiqEihKn0en7E4caIldCzL9ji85
M3dBxRFyanaJ/jJH69H9QYdZQDHZd2ZMZCf+RcYsfJtEgBVMByJ6VeTGX1VQPFpj01COip2WG3S9
M7knW9pbs2E4L0Op3fZyvEyCKwc6lQyiROu0gG3QoqQv7UK7KXI/hXmPL7OqkBhFbU5dlOLz3Vgt
Uhq5AHM8DMhkewHR6UpHv5EU6plOPZ/E9LlB+4Wwt8596oDesuATZZZ9SmdAZHbg35fzoE7Odz6P
QxLSfaIBsiJN/GtGeuh+rGJjTYLNVVKK2xSv2hr6udrO/tCuhCS4rUO5s4MgUO8shxXcWQBBKmJY
2hc0BYiqvk0G7zF1a4xU2IBdjMr19FKTPUQuSlSQ3DG4EczNhUak476HxdTuoBxh7194RYJGx53u
5sOJv77K/YGYsxgEO6t+Lh7o8l/MImYwSxu+yONiQ2SrHjoLFSlZ+Eg4m9OjqjL7gLWyWUVc+bOz
EJWklTJRbvzswC6xJ8mmvo9BGeympo+clfGdx1QsaCa1QJqaBdfkAc87VQDdXosAyApP7rINYoDK
F8CTpK9JChduaekKJIGq37hAoch8uuD1Xvia88UoYro9ick2i8Mb8hpQqaARFZyElEVVGfoRukYc
jpY8W2pa4dYiZykBJmWn1q4CUNUyGA67JrVqFARI7425O7TIEZXy6zNzsBhyf/pqyClwmKcRmR3m
0mzvcTU0OOdePWWN34Q3RZdGAScYI8c8Od/hWcN3kFZVjd2nmW3oNZ11H78P2C3jO4FrcsloW8NN
mh+KhdWVfcd2BVMGZ2HMRXM7DWTCTLXTXmkL68sheccJhTnpTyw9KUclwK2yKcHemdO40xdm2Oxz
KOvHNl1NRuLea1mi8K5Pc7Fz8REna1C1DzWmCCUb/9rX8JqHuH2fJuHNq7qiRIn1+jWvlXqo8Tpi
lPZIj7Jzdm/LKoJb366elDfc4GmAjFUmF2AX+BX9eskKeDG69rGlyxVaZWbd0n6utogUGREtSLXy
O11tWkBr6YJcqygrYif7kiYcAqt4z3Hj1AlvP3Yj4y9O3PF6tguGJkvezwYLOrc93VQMiLaGDp/S
6W9wLt1levKFDe1pbIev0rGJKhydS71gVGKGhSti9nh28cqw71KFRQnDVNdbp+48XdUSq2EkUXVb
k91cUARucxLAE2KWPLkOEru/cEJFD8sAyiCpOK3XKaKOB5Zf/zx9NxdDd7OJ5w3Kg2FQddrJRa8y
ccKnqK1xjVv7hqPYLVXcdF+lObIHTpY3ho/0qEgxclLAFsruTz0f9KrJ+ys3lUQIJqSOScfB5i5N
cBa1FRwjU3RrwwL+ZQERWVWt9imd3Ho/NVCWSDVcGAyNu+lAX5Dy7ap1NSfOWY6RcUP53Rx9bzD3
UDti8IPpqdBU8wE8h/eEVtkHzADiMswmDY4FLqu7lljb6yAyjN2YVp/8HCKnE7TwHNh9QuUtB3a4
CLLpXhq3/dQMFYkUJkpd5tNYWTJyOXRDe3ZE4b+UBS0L0STaY2njKXSXRqczCfCU3LpXBUYLNJjh
3o7TFK8IUQRxjoeM2R/4KMwGzZ6jBSq5sXO5qUV8jmKtvvF8Nqm4IhezK/tnVOHN2RF++wG2o0G0
HbkqIa5QjYWHOGa0jnJrANPl2RERRq4iWo1xALkQmMVqdmyaOZicHsspaW71mFQLjrjRndXWUD9F
XB+owZg/mnn53MYtypRitLFdOdOdqdFHGUSXf60Kw9tBhCy/BbhAd2qs7ZXfUEHXMA3PwILmnCiL
svgkTJGcnWFOndAYfZOYjEncxzFVHra+RjxJyFkstTWUlj6KL0au67vYKvSL4dGX78EmIlWT8hAt
SGDdK+OPJZDaMMJKsh6ZxH61G9y0ml87T5OBG7nvRmJJUPF/gNof32Uk3d9XyKqOo+83bHmMXbn1
pG+T+i42fGPSlZTL5sp0EoPkdkaUR8Em5RPAR3uvSTVePGuIVu7YlBdbdvKECMHbEMj2SvoLgYiA
DdxtmU+UbggltowL/A+GwnQZl4V1N8KX2ajOaE6xTF3qT9fZT50Di8Nhe5uLOHitu8jEjpiqQzIR
PunGQlygwQhg/h0FuV3Sf8Dcza5hB1ssC0Rmm+Im00ZQ2zGVuS8C4yg0g8xqM0gv5txeF3pigrVz
UPB6HZyIOWPKUhMm2zHtOTtjm33jQptNFEBfBxzEbCLvqigc8+mbE+G2JCMv9HXQ5vXox2ujVTAh
AmMxHUBHKIhio8MXX4Yso3I0giuznvDx+s4A9toRz0JLp/U45x8qfwAtEqfeVd1j6nPmdFvquC8q
U46nRQqDT7t8bUaUEn4B6qILJkJTE0yiU5M+JYnJHBcbXLxO+M6t88FFjbAEQPZ9a5xtSrBVY5rl
Y0wBH3GWG55iGqRodPX7dIqjrR1tCVrbGVmTHYkauE1Hd+3FI4vLREmu61vAUhM847nZdoSwhNak
rlNbfubxJJsUj82lrwaMJBM246ZrPM7crr1rZ2ZVYaaXgHQsHtQc7C6oRPe6z5MPc6JfYtbPDeG6
+lIbiG3V0AAdas3ccM6L9j4KVZQGor0d6lyswUs3+0EG80ZzFpwLRsGjMRAi3wyFf93Pk72Ts9cg
wY6v8DTqyMZaPQbc2Bsj+geW9iRLTXNtVBG44hlnItyflbL9Ff3SNBzyKo9XFTb8FYXvPqnOme+j
WSCJ5szIwweJpKnhXjpp+aGIiBOAy2lEJDOUsxZG5C5gcEoapa/0IcU8aWh3CoZiB/nRHsD8LFRo
ykxnuFRFVl7SLjUgt5btBTMIx1zI6QR0ZmQREPdDHJOhBS+9NUdPpgG1sRk4t4SdmDifFiX89bLN
jB2sym7n1bF715YqOxKI2B8cUAF3lrLtXT+Y7Re3JV1uvTCYP1RV0H1RBdmesq75Mg4sntya4BQh
uTx0vMl9YI5TOLjEIUEyJnLObG0wm/qIbEQU9x297gsectjgRlnhQNbba4vP9NYsTN7M7HdPsTm+
1nlqbjgJQfbVB+MaeJU49ioKVrZlDfQNHNg3stSMa3ZbY1PY5IJSfRThNGlnLQValuUo/EH9JmFg
NFqY5wbxmiZxspTpKV9bQg+9ey9X2iYozJGCuyqu9ELfmC2UFj12WLGGWOzdaciOQWu1q6CrHpSb
fWoXWvkktDAdxdcss9OD17TAmFprBU2NfGVLPUsOPz7fYdhy01UfTB9hlmlHgZj0hzbpf3o89L9I
8mfRPESn9vcdzXsB8r9429H861f+UjL4sDwIG/9r0uMvmvEfHU3f/8filjTR/aEIXv77Pyc9Pg5L
/gOte+bWi/7hX5Me7x+09DnqW/TUf6gf/klH+Wso8LsgHeNnIQM+IJt8dAd5OE1VzCEOI6W34/2I
OOlyhCe6twcytOd2zFZxJa5swHNHT41emKA9XtsLXRmus3oUYxYf4YoGYQOEYW0E0goLc/CpaSUn
PE78d2XRq0Ol1d0VvLckfHNnfzHVWOQG/+q//vv7Xeb9b7xLkMncTviTsQ9EPu5BmhBshQAS00FE
1QhrnX6QfoUJKPqDNBFd7B9e+t08hY5nUVMhTXsRS3AVOD9g8jb+lqSIapP2WrWeg5z6wyAqJTOd
azUQlOY2QbEGKYyAgEPNfprRzsHeIxoN1kbotck1rWam9TV3z7XUdW5F8VWEBQfueUXsSVvqewnF
rYb01+biMUt1h82m0Zhs15xjX4DlT4ByG9LaqqRgDeuKHlmzHp8z6fksOkps8tosjkWgV1cOmcNX
LeDDD0k/Ul0jtzwLIzc3E9SQbVtDwyi/TEOik+ga77QuhQIaJLTnRkN/tEei/7wBhXNu5T6xyrHY
pl7/JW0Didy6Mon7E46+S0ot3TLXXmJvGmIjEof4MjN9dNzoup/G2yatWxRe6zHXXmxZBqcuTwsy
gINnOZvazgnqUzvZ+npKXPOczvFVUZDGSWKdtfantA2dXuyskaiewfc+dQX7M0eMEptJeqRO00Jz
mK6VnjhbmCDdpsfZhkrP6o71oPCI9dRaEQCwKpqtrWr1fRtXDzkxBlCw6Ui29Xrg/GRq7Jlpc3SN
yMHcrjdb5C9qjaKNlKLZHIgF9e2NOdbA2BWlD/6DasOFEU8o6u7gtK7+cYxbQPQxPJIFiDXRHIJs
0QfWkW9NKLT+FE0B6hjfpCuZqAc1aMOtKlSHt9dGwen2W/TqNa1P7cEo1bgh9CWg1c9nkpBNdx30
mNIGy8rPnNvQtzCVlb4bHfzS1XedSKKDDYiPcRY8wYae3Qrfg7MCUrfo2K35gQMR0Kx4o1XDAJWk
OMxWC70vETmSc55m5VjaFhczGjw/4DCc9dNpjBOdtmAndvpQfLa98qHLOmjLprNr2OODxH9Ag7iW
LvJQYIT12sHJH5I7uXetblxljUUOgwdEjyAVeH092OIgCvshcPYOn+YS0rVznaeylPTSrcmHswF+
zsr7FDQ6ifVRniJlaTjweX66azilEJ2ln7QY+pY7qnFN3AFwy7rzTlNVZ/epZWhrQoQ4n9j3S5dw
nflKg5SBRDbr04vrKyyBEM0WoE+36lIdQb5m7rQRVhz0/I3twlMz6c/S7qFRmx2awr8TPsbYZlIP
nRInpyanoksuQ2PUHNHnNc3+jZJPc95cew3hfp7e3wHf9R9Nsne3OJc2gDaIrSVXyo3bqzYzyRMs
H6TWbkwVbJuk+ALPa9MxIlgTDT1Q4aJppaF6gQmS7AxwnSJtbuFQHPFoXysvPqZRadKXbjQTRPrk
bePIRTpZWZX8bCCV476X+r2SE5kYuXmnSR2voxiJDw8G9WVA+hPqZYvCFKF38CnJBf/OZR2giQE4
I2ebYJ++tzDB1fmWHhZm7KTH2tZY5b6tRQnwiLTqGqfqui0yYihBOZCoBWBvMYztcy1OFjJoS9FL
3jPqlhWr33ia9LF/aAOfxaKjE2aRprADjEFrM/doS4+lp5+JkQda1PTtXRMV/c3Yk7gkKhK1gCvz
g2mVMPPiyNvlrX4Gp3jNyP7Ymta0cdzsYSrT7phFHftDZj/105xs2trL0I/GRG6b6M3w+rUXk1Az
+HD0ijo7h4zNZB+dNDourKDiEC8lcKoRG6VxMNt4On2ZoJLOS0EF5UUz611qr4rZT/flSBQF0N0Z
cQBmSc2ovnlgYHRwZzsEC+ZK48C0l4H4YNGZ39giuiXdgrZ6EpG1yEkzzIYE2o6WGoeCmMQLZ7S7
32+gFBXvN1CmqIT0UOmhW/TeKewNzU4MLZPGvgqq20oULtEWMHlF4vwYb/+tj9z42fL0fav+6ZXe
lRa4sstEN2NrP8Q9JMQoeDWIIQ05FlWrMnM/uyZNC+UAGwyWlbcm2mr9+2u1ftax/HgLyGFsCz+9
hW3vnXjRr0pY2XKmbzAUHlgg29QWxEsDnZQkGqKTaFk1RnbfzTWxmEC3LpCUSDcdOGzDTmpOwdih
IJMVU7q0vUWWF6yZmS0WOvipF8ebYfQZulinQx7vRdSVe1MpuYEdwSJY6se20f09R5lvdOAw96CE
WxVtccv70DZovz/9/np/9dm+vdx3YkfSBYGuZo5BgJmM7mSrwLFwtFrT7pz/IO74WYX61531dFIg
+QfwunfaDmOkjdVlyiAVz/vWeWSSTI790UIFu26d+uX312Utj8q7qg9LyL9ebbGNvKn6NMHZXZHs
tyeFhzw2x3q2SDA7pGP81RCcMBs36276JE8AYprzvtMUrr+sdkKf4POrIAVsyye5lnwNc7dR21T2
3ZEOPfRGhcxSCD7CzBn1NXNkZ21OZFHpKQmsddYyLVAGf41OWigt7ayWoqRZyhObOuX31/mz++X7
TaXiN1ykgb7P5S6P85vLzIrR1TX2kb3bOIxXXBT5hWVmlG6udiMGzczDviFF+fev+qsv6k8v+66m
NjuoxnpF51azHb4arfPVy8gmGltSAkSra8dyUpeIqeRNvlQ53thlf/ii/vItsCgBpzF8YIjvifa5
bihZAzXbg+1vaSGZKCPlFRiZCAKQw2G5dq8Zy1FvWu5HVv2/lPp/u1j94nEO3r7+u29OPwaoDMrY
3nd5/9GSQl26MrKORePyYGvxH1Sgy0nh3ePMleoOn7Fhoth7tywlo9DaroK55lgyPRskD4dCRt3m
95/rL1aDn17l3TVJC9FF7lT2vug4+I9cIP0Je9PRkf7Dx/erV1ouBbeZw2n13xaDOuhLAFT6IoAb
w9E3nnM3OLDP/OGKfvmYvH2hd+sA54++Q0Jts5swWhZjd50i2dwFGJhCMfXWfRZ3xCDES3ncLIWy
WYPB+/1t/cWR2dZ1DyW8r5uY4t7zUaJEjY0nIkw5XlrvZ6YwD7VpGwchlLWvLfVY1UG2jgdmzgJS
/KqJcS55TQ6+oNA+aZ7IcAZprJhUF+UJY9Gz21oMyIT5hASh+sOB2fr3h81GmeEEPk0J3rHz7jHQ
jCGLirnlrQG9QHgE+jZB6gaMGX2PNl+pwFUb1Af7XiboE0dBfCvc761QGeX7gswb4ACv26E8UKZG
m5SBQ1FzppEak2gOEd/qeowPerMAspkIG2hmQsEkDZWfT89KIxaonitqqzpq6Ea+Ysc2yLpuChg+
g32WUv4ocf6nW1B/q6p7K6r7XwX3+iEyZvn++17VKsGXKnClJm/7VQiRF3kyv/nfIrzvT7ftYS/V
7e+BEn+J8HDYoH/XdbA7tKfe9KxIeMZQrCNBxie5QHB5EP+ZNKH/Y/G802OC/GUstJP/RIT3b15/
HQ95gBAv4F1QfLx3kveJ65FosGSdj23zWDSV99J4Rnzlm1HSoVFo1QfG95+jzGhffUhgH8deTit3
IMRyY8uRHWyo2g18iOClNYbqOBQQrQxf5F/JrOyfv9/e/3sY/yCXx3+8JIT8/ZP48KkQOQ7pr/3b
J/GvX/urc4qq3UF84Zuwk3ii3njA3H8g6iTOxF1arT89h4b1DzuAtY7uLljE8g5V1F/PIe1Wb3EB
YWQCFsXE7D96DpeF81+7OMCRAGIzPDt28IBRzvvHsG0sv3cV6ctMTG9QJg9hBpy4sK141eLJBOtx
tKWaWVezP3VBf17TPcwjXARQaCR7aEPxeb8rFCNpFhmGzw3YVCAQc40+HrDUH8pR7HfvLtFno4NP
bXLniZvhdv78OkqDBTt6db4B4Tnvow4flNYl06rlrBou+jsyslOy8OSQ7PpaF+euMvQv5RTEm6BW
wHSTji8c57tZXQaHIY+alXMq21mFrSMIE2+DkhJTBlcWqUnrvp0gEUQuesJ9pNeIlGrvlrOYk13V
xWIwBs5lJRD8gQTxB725gvWuRuParhgbr3tXXsWiyLCT0ZSqHFKnc9eqO6bL0rp49kwfTW+WwMnC
mm9h1pjE4krtwZttZKRo1a9HK0b7gBvxirFquRNAsx9TgXus8SJsDakiASN3+x16FOcUZOCAHXb9
w7wgSdCPapoIgWRq2d72GpOM2MaV61YTPZLXxqmQnkdaA6cOItaOTBVBoHVEUnTF1PcjmsHUWmXQ
ee/wLsb1SjIFYziqcdckTedpSOW5Q7+2HzNaRLeIa4fXIpr0D6UtZUrDRiunlT6X/CrzrvFljOMk
I6NtLO5LSz73jeZs4MIyfTK7k1/ap6As632ctnI/tL7YpY320e314ErvbQXxv1dNmPeyx6FHLKY4
uaml4OwVSl36GhFP35L3O/iq2OUJiBHTj2mipI1fnUtG8we0uvA9h2SE+VmluyAacTuBi9tK6Wtk
pfFxSyPTP+V0KzeoGGW0CrxC7TItuC5oZ58Dsjq3GR33KwuWBi0fWrzYxKbQ06QPrRhlzDJ2cQjW
6I3zJMakXpE1SQxFOkY1Kkq0JyRyzls6ntjjPV+FiFqD7WBDBnS7Xj67seE/L2bKqzqteaZj5+Qb
DYrj5TknXixfNXpgX1kTBo7BBa6SFH23ppCWG0uHo0JLkCMmCEI6BhyzH8iszYPQcdrsHlheYKyH
BfRH3nywJMhmVWP0qJnF+DH1e8vY1rh8MKX0etmsMzlAlUoMgs239kx2MypM0x62NMvmi1961ueS
kIc73SpFAt6/y3fT4vsarch7nQl1uPdGGTx2nTQ5ryzGsXSxkIm+sB8s5JkGObmq8S52kgWImBT7
3zoanGhcrDkIWAIHsMqoC6IbVNbEjE2zePxcTwrN68Bs+Zy2Rmt89H0JG95zJmLSDWzjweymn6Vq
8xuiLRACxH3+IAGt78uqOchSOHs/H7/NnYZioFXjNist61tcLYY9JdP9FDviCjZ4cphbjpRGVM94
aBtrQMGb1CfdETVfamV0j+5oBl/SyIoOZEXPa83JtVUpxzGBBFc4+0xv0mYt0H9ezUYLVt4q22eQ
Fczg+9FAnzQ7n6J5KLf9WIlvmJ4gwDH1uiu1wUcbEhifinh2b4x+hghKCHU4KV8+RmlS7fIBgHkH
EPElSZ3mqUot65HyxD4kcgzCup66aE0yE1FNfU96cC1ljjKgJPFjBaLRaL+QnVzGp8RqCagp0ty3
H000O0SW8Jsv7RztonRKvkURxq+9jal43hjMS+a9OWqzzWg8hUPnVvDxEmsKA2cu/HXat4zjY70p
QYorCPiSqTpsxpTAUJ40NYVllEwsSF4gdIDTrMbk9SLlSNCuplvyqeE6WEssS+81XnDu6qk4ztZk
yG1jZ2BpfBA7B5D/xkcH2PJNjz/+0EDGfpaW2QLY0oYRXnHJMXaDppOvzSC06FPiEuEYRihiTzH8
hKc+LTvvEBGrGq0b2qm3BlIcksYtOpxRLNSnMlX1pUN9ah6Twg82gzZ9mEatpB8ec2PKIdfuSxq+
r0iTQQJwhtiMnjn0G73vaR0ipO4QZ3MoeeHhR/+MUhSFwThBfSelscMN2zvNpANZHFx0nV7TyVWP
XRfw3VgbH1Q9WOsB56VBFpNe2qHbN90HrUQXvfGy2n4u7Fp/aUQsVnozm19E35kry55hTHVzu4W6
L69H5QZfJWk0FzTAQYp4tdMhd6Lkn1f5HFW7KSYCacWPiRP6kblaxbVnPSBFJg9kJIKbQSDo7T1j
Ld5Akc1ZHBbJPCLEMdIOW0mWcqzKJGGfrJk26wU0OpINq2wqOwAjYA9W2OpnBXmEUc0ObbrPqXfZ
d6jfqye2niheT4T29KtKDfVjBkL9lKGe2PKRoUNP/W5rMyQ8o6xkw4sDJrt643XHoRqw6eaJpRH4
WBXlTQMIYuXYfB2QknjobyfnRkYT2U1B4VnXKbqLC3J2NP6gBs/F1I6spnNygjo97pKsR9TvoUYm
kgiGF/E28FfvNIPjAqylWWohOkF9+aIj1JzBU29icg+/plPBc9tPIgAcngXyWzvp/vWMW7tC5kt+
GqMM6q2g6pIXJBf2mlT57lbLAH50rrpJRiO4m7MxfjI6h4wIE445IXU9Q+OEEYVdguRISNs9yyRO
riVMNlITXM1+zKtm+EIqQcZ3RrReaOrxpDg4uwsvRLf00LIdyNdzAj223OTtwIbcN3Jn6xXBqJ6Z
PAwqHS/DXPPLCQEIF5MUrZtc5NbFVgYwlREF+53qOj2c7E4/gZhFC0bu1VDld72WDCGZqMi8SPkS
elyuKZO/2AN5R6PbXmdTTLLCFNUIemtej190t0NUeEdk1NVuzlxzVdR1siXnfsQGl5b+DVnzyE1c
aVjFOgOcwHjIratThRjohV0O2U/FQ0UdRCH0rRiS+YK5n8wlX2jznWumMO97S9hpOA68IezlBZIx
k4EOrau+fWW24nc72xfdl95PWuLNuoEMjqGt6z06TB1UFkzwkDQvwSCy8CaHpdVBxxvgThgPi4eK
P41viJQBwN/3tj01Jzl1c78aclv6lHwO+2Hdi/65QyP6jM0qJ83Bhyi6lCpw8N2eyTg9EFtgGNXd
L3Odebd2G41PBnD0eEXwXnbEp1WTO0CeD4NpqVePRMFKtTGANnTc0iC4aWQ9XzK9HfZt6dkPKdb2
vW6a6bUVu/6LQtXMBNTo84pRIg6cQ6SEjbincHknw0KFWMVBbi5ZnOifgwz143aYzYKkwTGd7rGp
OUnIucAk031imL/XVdWeey1I5GaicXVO0qKmox7zMnFqKFKL0Z2zrsqkBT7m2ixiyGwdeW6bMR+v
y8ImIbuNtR4sSjEM84bwqSm6jnXlg96JF5FRPc3coDRDM7HOKIidrTMl5v1AMKJGG9yL9U06mOZw
DNxm8LcGro6LX+XBsR88Bv1JoSsqYNrRoUHiPcHvaSCp1kz/oZ5H89lLdPeZL3U6HA0b2WNhJNjX
WXQylvTMe5zqaChPKJVwU4BTbphyKRi5a2SLLSVrrerTXObaJx+0plpH2kysm6dTRm1Iz5JiZXJy
GAh2cDEQ8ZkE7TGZIrIa8iF9gusyCLzysOUOTkcfKq9INEF1pr3qRhox/DNoqensKgfSV1iKK2KO
gXwDl+WUoHXPfNr1lW3Mab6aC4vJPYv5PpK5eQLIisbKibozCNgcp1CErp32Ap8Tb6JfKddWl3pw
8mTtJWBywpTyiCzxoHEeOt1siEF/cz6++XG0/IlD9fNE7cexj+YJlArOw1DBlj7sm/kASZtdnwu7
20SGnh+qLv5civKeufOLFRT3plOysWJGXlNkfpRo7G9///rfT7RvT7zLsTMAO2UZOudO5z0SfJLz
YI6z3W+GuFukuT1xjJ5maf7eTrBykOxSFyY6jDL5WrJxmJgam5zoySEfXww1OYdJK/uzWxfdXYYF
6Gq5mJWLzOmiAeF4MU1KeJG5sMZ7dqzuBgZ9FW3/rx/zPS7rT/0Yqtrf9mOeX2X3/8LXMv6U/9SQ
+fF7PxoyAWA516YjCGzbsN82ZHwHvE5gofANjO8tGVoS/xSzecDtGBN+b9mZy+n5vxsypoE7l94j
gxCPWTHsnv+kMfjzEAdLMD3uADMxdFq8wGxUP389vMWYmvuuv2uTPts25BiFQ4wLCUCrj8p4Ovz+
6/BvTO8ltsswTHpJ3BHanu9G6amJQYlOlIe8WMa72MzSV9uym9vBKMlFnPAyFtFMf6bnpwjDmgay
PjBl9k9zC95yHEzrMRsif1j/4X2979os74vkA38hJ9E582iAvV0mFtECfPbC341m/rEreR+Ma314
M84ey8IxIGUQF5AFlljkap1MV07b68ffv4mlA/V2qVjeAzEFNIo5TtEie/ceMr+Bup32PvwHhQkl
k9ERr2H18PtX+cUnTv+XrAk4TLTjguX/v1kQPW5ymsypj5sGAVE2ko7jQXLBckzRj8Ls96/2i2tC
zs3V2HQRmXm/e75aszXID/eDXVBiEVL+Igvpa/MPr7Is4u/uHGgQGot0+HiGv6O831yTSdu6GZ3I
2znJwgrOpjHEOns3FOLL7y/nFzcPoKOL4IjrYYL/7vF1NMjf3x/fCA9zWGjpt1EQHZZZ5Q1+38v/
x4tBKKFXazPxfA+RVL1dVZ60oQtZOJBydjdUFia6uRl4u0rd/e9f7juW6v1dNAknQcYJExh+1c9P
hiAyYCYGHYsKQZ9hO1TBeQT5cJdTwx+q/2LvPJYjx9Is/S69Rxu0WPTG4ZKkU6uIDYxBBqGBK4AL
8fT9+SjriuzJtNlPrcoqK4NBd+CK85/znbaot6KT4b4YJve49tUlYNVmv8IGX//UzfKxqmN18LrW
bNFPMgd5TYqU8QY4pWBd7wdXtGIbF10iT9xzy9Rr23jYKLFycu854qRiWJ3tGFQc9e0KxBy9v/+w
Hf8F8ME7xlwvxCBK38pfn8epK92JYFF0yLvCPVWBFZ8WE9gpZKoXC5wvWCONoz7/jrxC7HxMWs9T
7sf/8FH/d89rwsoNW5JDGWCjf/2kVcUNKMia5AD+yz/NfnnbUR2zcewiTP/+S/3rT0LVZ/+AaRrj
lvrzO4VcjeZSJfEhIp2czmNM5qlvfwI5cXd//5MoJvrr23ER9ZkxeGi3FN38sbTI1vGsyNXRwU+M
SzmUVR4VK/69a4fzY2jxILhyeM7rucX7O+AAHWKbZChKJsfbfp6OiRaodBEnxY0eg/CJMvTgIzAy
Pk4hAl7qyXF5wjjr3wyD6a9r3KGHTpHVoquAnNq+4ctP5ejI1G6j8WQnC3nuwg/3ieqWgyW13Col
3Z0XUJHC//HCVQnyPsgO0+DKNG+d7DwiWt11gTOTcSo0RVVmdunFisu7jAHaBxGb9uSbZNrZTbIe
SXuSRzWSWkE5RO8lRIg77uMlOUXwxFYGNJxMXEj9npudHQI+ST14uyYT7SX9im2jpSmGEb149l0l
3t2xEx9xbsdA6mTnopHKLO36Se+gPi+XmGRzLO2herJsIe9iu0VRnBGntphuVrClkyffBVVmZ2WK
7LVI1vJgWhl/hpOe+01mez9qq3rrGvDyTF768LoaCG6QjLiN2mIrKeP1fKs9dsYh5qpot3oEPEta
2SvC+Nr2PX23cl/bULsaEilV9YFfR6Sx4cKEdFhuEZzGBh2knG06wpvlJhkTvkzADe0IEToDpDFy
Yzk06Eu/OTLxmUwegDjivsRnR+dWDhlTg8DD3y17X8M96Mxr4FP+sW0DocMNUkTyyrGNVoGgS4aX
uGl9OA62SUl7W6kKA/9GmpC6AWlzvyjzWGQQm9n6IXZyb95AVu3HC+2zPLp5ovZdzPftasPHZyyN
6BnW0zbnu2URMk6580UQ/KCtYLkmYuD/8AoJLiK26+LO5JIcYoxXAL1gtLlws3hQTa78RYXcbqfk
ddLB0LziN+42xrarTxlU/A5RFvDEJ0wnnhqABZjNiknQyq6yqxYgSQPx+HvNvYUJxVgScLUH2joP
sStwHVZYim/cupX0MQxhv8XSTy1biLhRZLS1uCsHHBIrbvuL3iCT4OvIoMr6Sp4UmhOG0Xo8msye
z+GKNXNT+Xly6HtrValdty39uNltPc45NpseLWLuHP6+xaQ8mBIxPpG0dUPQtUxt1ht3UvvROPKq
SAJ1nQ9d+wQEd0jrctnPIiqeXTuZKTIWw17zdztOVp/vEzkkR/BZLd/v3G7zcOb5aFbmQoyJRvBS
pN5fjRdH194if/cOebtyVCXnUyl/Jhk1BhxQPXmyHKU2oVW5zH+IJNFNHEwHC51si9uLT9+O63M8
dglh9KU4FZ2K+V1J92NUaj/I6FW3VedMx9hT2VftrUFGU+M0PZiKGVrDV/yUERs7VqUFDglz/8Ga
2YU5iqpPEDHDg5vo5UgbYntQGoKjdHNnj8hlEewgbmg4IM6r41+TDat2czROGzXSy2rEFfp9fA3c
TyIRrhMGAp1j0a6yl3wx/rVUTn5n1Yt7rdSQfJS4A0gkB8OuyXMvoPJAUTXXqezo2hBwi3Yod3MA
fyKILdJtNXSYUHA4bt2guM6FeY9jQrJxb9cpux724JG+epWt3XloAkZPIO5XCvtKf5OTDmsYEzVV
6o8VRnbEZWiz6632JFzFKlqfXBnps1jr8tdM/fXGtqjuY5svcbHX872mEORUuVb2LiiD3sAbpMZc
+sDcFbXL3RKt5zyp3kdY0YdeA8lNOtB7eXifNe2jbdfNqS1aYISjV4MWqcjpG3MAjmntey+cfjN6
oH+3FjWZtXi0nPc5kd7Zb/SZ5jKEW0ED9jzZS+r6i3PTDJ6fb8K4aPaqiept0PTTvsd8iOwPDKFy
QoagSpnHTIuu3Cs/ohhlWF1Q9Nb3DNKknaLgmUPSehiJ+dISwKscOvbBwYi4m6beOfvdAIVH3VCM
y3iNUEi6soITHe8+nL6n55bf/NIIwHyo30ifElCk0m1R0loDy8JgqZ28WzmN2WNnk26Osny5Jh5x
9ntD8SLm083shfN+mkb5M0ug30QLY7FwWYGsEaCppi6cNuE8he9dVCDGNfmyjySUBbTWnIZZv7Mm
jlVLJ144l80PLqCwI6Pd7KBKWCYOi81t2RL+caSVPBX8vj8UXA785oDC+DTClnS4po0YCbcZwWZE
sgf/RaqTAvcQ6Aj86mSN7huiew271areTKH0L9dysWBKFKfxlFcMhYAhUDIz6PV7cUtmVWVYI+SO
H+3a9Cf+uHUzxDOsSl/5KSwASatC88jav7VZfEgR2/KwVkw6QdjWP4gtySs3zwCXjHjNAZ4wB2xg
2JUl2VsnxNNWT+qaGdF8B5nn1WCc2pLifvGaSaQem/x9aPWwbdasguNGeBGVMJx4cqmLT9fIl09u
aD9FJfHSXmCGY2xhHwdNWH1e6EVqJZjQkSkXq/zYMQVE8zkY4rQHcubhgSWF8Q4a6WYSLkTsoXXv
x0tetbOLjlyvr3eSNuTMWiom+qwWs076bzYk5Nduao74Ac1LjvOI/sY5mH6rhuA5EV0qQ5k5I1qv
ic2ZMYCVYNEEETc97KdSf/euC9+FFP+T5yRkkuwLk5rI47IGqHeJN0POdizzipM+/w4oMN4VfDd3
Ml7sExP3DCJooh5XrDx73WZfivDALTijfN+USXcVxlWJWluN9XE29nxJ+9OHnckKX6T9IFdSs9or
3D1yFniSLIAtnft5d1UFPAnx7Np7xxuHzexW676fS5rQmE00FDmMtN3MtM1C+Mr6T3d2m2tCGfWw
7wY+kSSsmkPW0WUHjBDYTxFe1/74vqi5p0Zpvp2bXn8FrRiZw3hie4kf40hwb0ciHLsk0/rD02Fw
aG1pTm2wHOreeu2ypa434yrynaTR4aoHg7IrqM/Y5mPYvmDRGG4TTPUHm03wOAtye0xTXnxRxJuu
iN2tTIz6kt20snNfKozcsqfNecynrXBZm+s+zG8j0eUPjum6VNs0R8etS581vVX9FiHD3M+FehOX
UVRvjTeFS99Ru0y7vmDdXodaMH+dt6qf45K5xnowCdVEDTASvYro7K6E99yyLB842AdgXKpLw2uG
bNp5MayiuXvVlUWoPup2psZWEpZHxrnDqRnBekeMDY9eH+Wgggy7MNng4wBO9dBAGxyTaK/7INpD
x4WsIoQVXyX9TDYD8vjRoxx1ttqtHGsHiTLYdhLyKkd5kIw5w9KwqLIDGQBSZvz8jWqDz0EG2XvU
kj4XsNrsaQl3K9DlQciXZdDxRlP9OFjja1y55r4gkcZH+yMZ6Hz2CuszLvtX16vPTDmecsMOVbbO
XTNHv/P6t5piA0eBQTvj92eGGFTPSnElguimDJyz5TIBaaJR3zTKulE8QTf0iNWHbPLiz36mqDh3
W2bBOfhYYQ5eKNu31fvCB9XsY1c6qTPBgW8I7jAMXSy+QF0+j31JvaHuXkgWv4bk7EMpP2qR/Zz7
4KZwmh++GwzXUEJUOjaKxH5bvBRucgza9pmEy4/OlSdBVAaEbnfrhWCobdf0m1CYaTeahUR3hVLu
WqS2/AD9opDuqesmOu/C5rHirTo1VfEL2eEUTsvWimVA55ZDqpF2L1kV2REyqbnrkjy4g1uvf9O/
niCaBac6s6j0LIPLtAteUDtlv2ov4mLOdf95kD4zVS75vLJWEH4WKx3ZLUWd8IGCvUpsaqFqTK9u
NhWXo1Qod77HQLBoqOTRc1dtKcNUG2wxZ9fH96+7mbOKIOF94V8Q/uGKoCdCWSNN8g31O+CTqpql
YMw2uCHpvO/5vrm39pvJip6IHtz53lSmoat+GnwoeuCc34WcPtvaBQmSseaLnAO9lzwWq3emnvyN
ystbEHTUj81874A/7E0VNepUFKtg0+9e7AGvkjIeUa1KvFfYF7cONmQA2r8iy38DkT+kq2LPXoTm
S6PlTLjeeM+UpH2dEUOJaQQN6aTcOfp0nu8EToGNkLr6KM04HAq/oKEPQeQq6my1WSJqHGQ7cbaN
1M/OGc0BuDG/KbYw3AzmLnBAahSt1+9WQnrfES6Fu7KfOd2FXrNfbLvfWwmJxgWTTcedZV9x/7ma
uozDUdingavu1cAFIwBx/F4IKzh0RTYekFie5Jj3+0zAaTb5bczx8E5La9zNrB07P8mo2ElcrF5A
GsoDRgtJhTujd4VteW+HXI7jiwekrtbdiDN67xJkgDo74B2bwvnZteChRp3gLKkmupT6qP+c+aWu
IhVRqzzzlQIoEHSGW+OB/da+FZJQbN7XHaGAY7esFaal3j3b0Gh2uR6rc02W+5Wu1PA1noPf2eww
/nA7cygaz35rTDMcO6eynoQw6tfEs30PMCk8L6XHPNTzrAOWanMg/lkAQkr0bTBqmgmRcRguFREz
edKf0Dkkv6N2dPQCdCe1xnzw9rZT8hhqNL608TR8lrEQ40lTgU2xdfNjoRV6k6N4fcL56QDTOEta
KI5CA1fkQ1LRaT1jPwDIZY8ET7oAZ0cYXgk1LD+AT2y5MIW7htd3b2tnPF1sarupCiaifvl8X9pB
xWmxJi1Of+m20+FDgRCVmpZvnBRUcnRN4OxntJQaPsGIkUsTL5+VOtFlu+uSad4nvOjcpVp1TcjG
7KqSaBzh0/acXCpBqo5azqB2pq1Z6YkQq1GHcXbDQ9sMOE/glOzGsgbZErhQveopvspiMqXUfsqt
V3Ka5wL2NGnX+1l3lZOG8wBQzWMgVUOSidbmLOeCYWK5fnEdV48JIyviXcqipswawejUylxbtn5x
3eCNH6uvOkW2ASLnDtMA5R7+gh8SM9WLO+sSzKJUxa1rW2hDnaL7rR1ttKDWclAdyzDNYziLXd+L
fVD0Wb7n0ue/jbmiQj3qxZup2Kazuh82cTeajSx67lZLFXYPaBXdi7AoH1dJIT6quvAeS0bx966U
3q6gtRUy6Fqq+9pNfjF1Sx7R4y72e4+5ti/6dMooSB2SyENgGiPS4Z26wadV78Jkrk9m7pBEZUbL
uNW3B8sqwJLruNvQQlxeLcWCozVQfbSJnX6iCnj9iU3GPuZYNd8Leso2TVUpFI7wV0RQi8NBsgDG
cPKdbj1xSbWDYMZPcRMablpx4lVw8+0HGoBAdqgul8c594qb3HTVbu378to1+FmBk6GoXjfziLHI
Hz3zsFS2/0VRu3SvrLVeDmaKvDj1wjV6JyJt1zt/iuZgp6ia+e55yKLUE0slbop8WJ7XNonoZ7At
le1gngzUz9SqeZ/CYNxZy8RNbx3WZyKL/oHmRnbHhQp4piZPVTiyZiaq/mwzWeyr2LnANOacsHyo
UxCrwUtWE+UYzG3cOuqqgfqNXYW9g3e1Wc+dapNddUljbnzYbuOGZgCsnVHTv/KD1As4nf4dAqp3
5/TtLTy3el91IroJisTZN85UsMzFQ/eDbiTvaghaF0Zs1C9bYJrZ0Qky8zLJZX2qMyOfS9h0Z5uw
PylSzBl2Zy0kmCpUdt2I5uiIhPrbISrHrcSkhG1icVgTW+zNOE6amJaZpDVpHl0YVlEv/Y1fWBXo
qjHbyyhHS18kHYt1zWawicYRa18odbO3skl8hPUlCM53Uj9HrD+3YxuPv1VHz8sm4zJ5GPmo4xv2
76Lel656zALN6lU/hnHSHhJTzGmAfrkRYFrPE7AzP3cCylD5++jMhKBdYJlesAllNqXaZCy8zBH2
VjBRE10LeYhMvhUlXs4x9NPEsvTWmutAbEwi63OQVxTdSP0aSbAnMHNIt+tWhB8k091jYmI3VYoQ
1pTgu4rWYXzkSpnx/rfVoYVmuIOkwt8Ko9G0sPu5wTjvLBysB6SPr1W7/glf5brp1+l1XIqjBOp2
QKkl3RpnsBQvYWNSE2SuR0g8TRn54AK7Jl2KWl55cfkYAvbaEcW/ynybiDpPC0QIVOEdqg4gf125
v+ae3NG2rdrW4Qy+RAdAQLRQYJUerv2IOvOIUEPP4mXHX2GFO3lcXPGG/CEeulgPj9RSDO8Y7as7
PnnuxUh3e8eo6I6z3JSGMo/3LW/f1jbu76HI1TFZnfkugKiZbeykyX6hwXLCRy8X152XDzioWPMA
gukoivYjAVosG7kUVVoD5Rm+cQc58852shVWD4zt/tAGXcGa6Ql6GPp6pEHDa1CzggX0FxeOTK0n
CFAUBKvWZqQaD0DE+qg9D+ANXurQZLgjY3mj83DaZvZl4pKV1s9FiAvHEUAoYARW/kk/BvDIDq1w
7DtkkYg/WifIFxpFL4giyO8JZ9kklbN0qcmqWaYLvHVMeua0U7ithG/usqbZ4jIGNehVO25AWYoZ
+Xtc1Us3zMkLRIaObTdfqmiTd7rdRs5KJHx+g+qHw2eo3T0gzq11cf/Hgsx8v5TlVd6jCTHQOeVN
ab3qiTL5BIfhRXaHTlTAFIJwuG3b4oLE5NYlc2pBaCTlMmt8Wj9wAXknTrB0zJQKz9HeHtgViSjH
QiPtTAnkz5hCEmz3IBhiqxhJsdu2dQuRden3ttWi46BoFE9e5AVUAdOOjbmr3wGMEE+hoYYZIF4I
PF20mik1gkcIVGp0h3vtdT4IycgLn+1cyKOqcy6RitsKzZ6Zr64squiGzQJzaF/HGkZDjqxpT1H4
zu+17gd4zZdBBbZEbzWDd7mxNPeZnePid1bpfQEC5tBr0WyGiaZzoATEUrzEy2WxrM1FQq69zPv2
aYjiKETx96FihsD2hl7yFsx19D4sRXTDRKo/N1gEHhl8RqfQxbJrB3kutmFgFRWnah9T3NDo5AcJ
tZ6DjNV2J5sdjrgtfe/IaSGiHW4y3q3q0mCztahJ+O13vvcy8gq/ZnYlvuuoA3E3JLq966TtMmKQ
lb1uJLU8X9IKbIxhywy8IyifyhbGIsFxS7Pv9OHPhXDJXSCq5ldDghzFNM/vxrn330fLM9yOqSP4
qIJkvRJ4Gg09VgkyRGNxYUrnVpmUks/gKemDmLaE1nc+tMjd46QGA/U5LsL72obuAI1P5/eYiNF2
C7DdRVa+2joZvvvO7V8ZImVvoCZ7Sm2oKrPokUsrPs76FHKSPC5dub5lS1+8d7nLq7mQbf/hKiv8
QAX2fzZ60akRuGAzD3yVrznCr56J4GP6zpWwfOpuMU3t8PnN3+4aQ7NCt0mpwPFxwMdQphfZea9W
0BYnb7aXs5qm5EfluHVqRxq/1hJTFYfMHDLHGDDz9yr7WBFZeAH6Rv6IIa1erZy1OVSvDbRkDoCb
Qbe6oBY1eGbz6n6bbuzvww5sA8MGy7v48vMdx7wK66r1s0TuIQmJjQLtxs4ogc+bg8Fue4uPY8DC
y1Ri5/WivWdchmN4ztG7ghID56ZzW/G06EnRMkAfBB9OgAjpu7o6u8PUnPxpiU8zUbSr0u/FF65s
BoO9M3gyrZyoWTfQ1/HJJ5Ntb4e67c8sGDGMpZJvzhWL6g9ck2c3Na7kFt23QOF2HUXnnLPJO306
lZoeEKyne9p75VNgov53IMfm3NldfbWOWfhNr1YMREiIm9yPQFm7jvG+g3Hof9dufUE5mn780WE9
ea+U0hF5z0iF2PEkHsJl8unAgxseHnlUk23BgPRZB9KpNjF0EwCAGQ0z5Jf91zxq268uV69Ogira
aU4kZhFrtYmaHGS7F8iasP60fLQ6KchloJ2OnKfw40VI7+tRD8h6QWJ0u+cawIc8CsMBwwrFal9V
hfRb8viOzbxhzsrbZR6CfhswdWWNyLt47+XFcF1U7F8YWgF9T6vk0WnBtDapG7PZuLpmEC1iyz4b
6c+MrbrRvbXHS5cc0M8lDcIo/xiVyIjrKv3uA1OvtvjEi5NpVf9Y8EXFez/W/guESLXs7FZGXxyN
fLNJynb5rPJuQlxpQF4eRdRegkmuhh/O01zpAya9izKo9BymUdKFP0daJIuN4Mh/nWfe9BIOl50t
CadDvlqo9lbnJFd5tPxS1AFvmBxP84arNe8JZyR+A4YJDtzKXrLlomPPzHGiH3kD9l3lU4ZkOeBm
DhesIo5zQ/oJR56KfRUePJ/KTqi7C7CbMlAMPDz+wbODRXfEHOpDmxG51zLpcKJ+2PlFiXSmneoz
035zivwycNMmH4iRRLZdgpLO5KdaooVd1wckbBjdLNd1bTWpPQ3hO2ZTto8q5/LWqqy9FMbX3lfV
YHNelN9xwaUH/LCYtjt4tQnTphqWfUhUnWFe3J2o/mNQFjFMuw9JkeXMIEd2E53pz7USoCCFa6m3
Kira7WQ4TfSF+PYMwL8APOZVhdvqflo9q8GjzW0NcqM6L8tobZnVcsdfCNhAWdhYTPsO3G0IJnNr
Ft8yNh7ZqKYq74s4uKMzsjy4ucyfi7YFE+9qaz5WOFvNnrl9se+0/xGAMn20wsr/tIDiUPJ7Ydk7
/Rd8iurFi4qGQPzUJ4i/vnxP2M1vLOqfbhvS3485EYt/MGJcjBb/anlJ7EsokY0b1pz/pzu0qO0I
z7eML3d6hqfcmO8jSsjumkFAkmY2a98Zx6pebGPYSv/eMOH/d3YJLChMQQl3Ybz5w0wEtyvEzjvH
hwXixl0SCkWqTDNFsBnbexN5lYw7GYNxuzJf08qWosax3QtTO5uRb7YWOkjjuEXsJEeYNh0Dpm4O
vf3EMZ55s+vcdzlxp43b4o9FQA1g7IR+fzX51XoedHmrXcOoIkAb9HBqNek41WS/IL0Cam7IC/Vj
7R7aubZoy3TibZixlo2KQkh7Cp7nkctBMC3OPUjbz6qjr92KzHCE+ovJC5RZv+EyFh2yOfb+4aNz
SVn/+b0laLZgIgm/Mgz+w2nS8ijx8fmc1vFQcm+w731/Xno8sPAwHSxL04I3w0uYuzsLDC789ss+
aUhY8jBJDEzbjNxGlLaFIRUztuGuSjxzsnuoUf1sXc/2yH23qTkAexWMoor0xt9/+xcj6V9+BYpX
EoKpDn6G+OKc+y+etZK9RJhEJQdbiep/YKXWJo3XubhereERE3u4NWzO0Gh0ceXY9vibidd4UvbF
rYfgFjhdzSsGkSru8G38/d/ur7a9SyadALrrRpQl/2kSzNHwQgem6KF2EKoYRebJjZ116h9+zB9c
iIv9lP8Qwbm8AizthNz/5UMQDIx9nYnkwPhzqdm+I7Kakxq389yEv1wu8KyRtUg7iku32WjCRzjK
et4ijNfXeHaSu2aJa2wzvCwi6No7+OI2HR3ZCoastJ/FUOvXv/9onD8/G9Zr2wmCS1Taj9F+/rBp
ykauCBI8e0a7LAqr29FRayMOVlktNuj+/mtS3/V22f9oVtQz5j8ULhtAO4u/hGRAy+UrqJL5fwJS
/n9o/h9M2j5oBR6b/3to/vxRfKgPTfnix381af+vf+//pOaxrnGpI7Z5CXDH+IPxXgz/8W+R++8M
cXm/HPyeeD9tftb/Nmm7/267/A8UvzF85mHmX9Ig74r/+Dcn+HegUhSNAyhjgWKU8v9i0iYncHmo
/mWjwq3og5n2vDi08f/88aK44xLPg2vNu2UQaLYhCNztbDTDtbXwv/N6IFwxtOx02zm5WJni3EjW
vtx2rhOL2NQujiocUJ0O+vd2od/+1oyEIdmA6fPyJN6Gbbl6p2j27Xaj6Kd0Ng15mmKTWVUjHgJV
lm+gjsr8yV5gWj6QV2v0tqzKgSy232E1UF0IJZKLkVLbqhAJ9nHuhPUmNJpeY/C8dCUkbsvxnCJi
ltM+6PL7bsidb6fq/V01Y9pMSbYmJ1lL69Hl6scst15Nu3UKiIjMaxxZ302Qe29sxFpDRB2LuNNR
x0MkLIiBaPUmu83aJSqpFC3t+jGu3XcyHZycJstmCC4jtyS0m4XUm5UF6bp1Vn4FE9uDOYjcU5AM
rOdcbXujYZzLvCqe/dgiKYYdp4Cu6SoKECZTldUdrCCmI+XsYnPR3o1le0u+X3VsmqMV51N9pWbB
YDLMNYf3S9mb2Cw6acjzY/N4cAfCgCmDUXpJSTdth4pLEbRYF9uC7m8cFRcPILzFD+1Yn4EauCFg
LbsY15I2QH6eoIf2Ywg+kjacN/60kFtcru4zBgnYKhoxoQJ1zYr9ws79x3ohzXXu8mwCoIjnNNnM
lvZwui4rlSITaVkMfEBv17M/RASc8sgRISdTerWOKkiqNxWvDCJGZm/mnKl5SVJS/PTZx5Mb3Hfz
7ExpGWe6u4ntoa9RDxsuhL0RzjEYEu6umlxgcrJ9Gi2u8X/iJ8DaNBpqFqYL/y0eLrUFPcO1fHX5
7wPSxYLmVZTZnom9adAaer3s6IpxnV0RiZCqn1zMz7oorOZYzZ7/S4SZfGmLHkQPIspXrzNnvuKp
I3+HT3lRO6OGgd5VB+tKoWzsKY0ectqLoov5zYpRAqw4C6+qyqbHJnEwABTOGBMxn3PNkJXR2ZIu
kE+vvGkQACWFqim5KYsHVUb3tJSHXHnGGa9LJq1TPjqQ1aYpstGzW/EWM0h5tMZC/1xBUl4nQX00
vTsgr/Kj3adM0WeLBbIc3GemVlGIGZj0ezraYnkqO2/9wh61nrEqqynFj1M4d2rMI9yffe1OO5e+
KnNc7ZwBEDCX4Tj7fS23HBxbuC6rvEuqiFYmlYgFRATDcGqa8CU/y6UQnOY4IAIxs2Jv2KFSBzf+
0BUB4FaM0psKlpdzPXqsCSh3rX9WeG0pUiv6hetC1ZY/h4QaqV20MEoOnRxsniNoS9v21DlAarWz
V2ttMjLwpk7bue++GmFh+VNFCXPTn98QsduUaWpMKESq9scCUIYrHzbfO6y5KvX9ll44uzHPSJj0
ojf0/2zKJpnRCnzvXiUB6rzPeOQ4mv5y7XfIT1Xose1R2tJ/cdpaE4uc8p9B7RbJbh0GQOX1XNLJ
i8vbZIdkofx2dPPi1yysS98BTg9DCY6DHMh2/1yGtgfYk0sdJb4drRtFOHlc6qOw+RJBoa48RS4g
5aC7vo5O3n3C3TdQExpvzg+YI1Eq2joi90XP9Y4ygOm2kL3FWND1YM3jHJqexFRmmMaCZfa3BbFP
zciqlc5V6GbiyoSiGQ/zAm8EG4jNhZuBBRAMTEyVnQa21AzBFiq1DJjIJELddfIs6l7iSls2NSW8
KJukBv6eWX0QXC6kYfzZWou3QdvxDoEiBNIVb2sJAYi0nLODf1txfqoVIIhCbgsdh1ihuNRtewan
lEbmpTyGvg54RwlEsOwDEbuSy5J0z5iZaQN1fLHujE9DRkv9ynO+4NLchO6F84q3upx2jV9VD5yy
I38z2i5WU9DevnXNsb76QLPuzTEv7bE++x6x8DhnyUEJ8tqdwNGFcMYt5D4r6/zZiVnmtiafnYH1
okyY7QcXU0MSQFQmHZtMLwlRzpX1yimZLfHJl7tV+OFDM8N+BWva0dpV4rtG61wu+Vu8k+KxlC4j
HNYGYKmFKCkwKixOEKcydn2C2IwlIdL6NIM4UTkzxSqZ62XQUk5j5+Snee4h3BrOB/qIGVxle8ww
ybHjpvzFHV2+daPqHywzlO1mluX6WftWAzSTDE3A/jDG/ZYfQY+FGauVYjn/QkANmouTmjY12onC
1fU3mDv5EEg4ch1j4nKv63XhgKA87yOWKxtdDK3keeljfe5tMfmMRuaa5qmapRX8m0fUK8rb2xlM
x6MXF+Z1WvrkiqB0woDcIsJctTatBzBKtDnXAEefzUop63YCTFARs1dSHOeQPmXUneUIXMW5xSYC
LA1Yd09zDyFySM8ElPttjCK4cUqmxnf+Us3LEZOpSO6XOESrtaaoOFueSn6EwRI8cCe4ll4FUJcW
jsexTcprmq0Ap2cdZlOPRW6b5cbCm8u0Ph7nX5VoTFoK1kzX1rX3M1Bt3KQ5GurbUI7etxbQZwt/
pjHRWh0ueNLUJ3ueGCpcNgA8RNXT4ldco6exIvmv/pO9M1uOG8my7a/UDyANcMxmbW3WAcREBmeK
g15gDImEY54c49ffBSrrdkpZlWn9Xi9llZUlRQQG9+Pn7L12kQaI/pN7rSndC6NxdbEfzDUMNnbo
fJCqu6GlAuIAxoJE+YF3eWM1UgCsszkrgbclS2qJ6OPHwrm3cq3IvkpDxQxyM0ZGlVwOU6HT6al9
ph6yHk0jyPnS+zSuRuIhDKH2jJLGS03iPQl0Z1TbErqvu0YLu0CTNUTIBCN8x4EuX2U3P9Jrp5kr
0thKcLK0FSC62kJVjvWe0gOW6qZlLUKbYi6CUMlSOedGkzV6VqwA2sWQpkfDwl4u2si7g/VCkE+W
GI8rCeirbQCyvzbTZvjgvFiO1AaZKG4chbc6lOmoOTtbLBxFZ68uGFwhjj1UVjadY+T13wloSoan
KsJ4Q7o7jZ4Gu1h7N0bCdbeC3i4Z6Iyt1ImgFC5jHPv9DNYgqr+bcQ4Uj8OjHI7YKCwSSijnyHFj
3utflKU5PACKXYYQS3LxsMIozWM1OcVyb7bN/dDVWXVht80wb0w6Gneza5Z6YC7yyoBAfUjsmfBb
ObUKZTlblspVUQeuJacqEMhosTx4jrpNllYeCzA9FyWyNqJwR/OGhrxEyaOAoqmJDn1UAXtCKRWz
l1ODfG8teIY2qlxQITQaELRDmEZ0+qSRB4cGGxqDAjieO+UbKkAfthGl0eOcpNb3fmjwXcRWW970
ftc89ZyCUbrMo3Fh0jc/daIibStvYuMZf5Px5FCrXXfKjvd+PsRWWBUQqfd24Vj5VgdMvZkY8zWB
CZnjGxtkHrJleWhgPM18VlH3JtomksE05HTY6eHXH3XWkDWZ2LW2Meg/axi4ewoOcpzKJ1A18eMI
/KCmdiOlVadefED5MdmIM/1GvCyj1QR+s+TjN2UV5cYi0BVCDRJ1avI3Y1qcgDbgQ5oJ46gJk5Vf
IVnxLxoIeM5BX4xhOWVGngFCyEtA40k1mGvGj+amGw0pA4YNHCCEHZqgElnz3EEGSGW9eEcXvt51
bmNOlz0t3ceu6TiUJyIW5JpmRhIKi61czll9385dfM+zvxwWEAPGJvPY5sNy6XsSTbFWE84ARgf4
1U4Q6L1Lcusd+ZboghrBLnUjbpEjA85ZPjPEk8yVBHKwzZpyQMVg6sZVbTZM4ccp1Ao0ZlPfJ9vG
kdMF+oIKBhLih6Ebvmb9mDS7vlsysqZyl7mIKW2bbDhf3cMJXrDGigQrj+2hApzaDL1GmVWHRPM1
h/G+BVRbd6SZBQAutFes/L12kWo1JJLeLNwvozk4eghj2zCBJw/VNz333IkAqEFex9Z6OMNZmDH3
9X2iX+cpyndVgjx/Ge3l1Uzk+FXwLZwwHSUhjh7Xm2GLWXd7y2ynr7gdYHAkRG3ekAimP1LgssKm
y0Cx3rfyIjKrCc5WQ4d6dvNjyzA7OQx+ZV1xaPCiiyatxTlFmBGS51LYIUXGgqZw8YEVLNk0fZ3E
CuoQJUZW7mJE97wBgYElB0WNm6FQ2/IyG81mxDdy5vV1Tl1Gy3YjDZ3dfSAU7hBJmRNLgANghM1i
kitjFzdCpxjaRoi4jAvmK5EDXqnTzTBOtJRTFccbJ+CQu+wZSIqvtmIDC1A1cH61Yh1HwdznqNcj
PAzzFzByhnUgi9xPd0mHfX9oWvs4yN54RYYLqUva7SGrWeYXYbYJ83qHtSZT1bZFrBIWthcTZVNw
TA9mWqlMYRBKfbU0eOwxbsS9A5XpqU3WoL4YFFG2i9LcuVuA4HYXTYXIPuxQ9JHDGpfO1isg6Wz6
MU4pKAWN8sCW5XTj1Z4P70kl/vcEnPGD2cVfpO+3OKxSxjwVcTk8uou7M92EmR+mmYu5M0akmU15
rKekvnWHRg/r1gHZx96c51tC2bp7ACGoKdrencOkTLpvqZKO2vnCVy2BmCWJ4oZU37FzDjdTC/yU
36a7GbP2OGaTnmb9zVKQo3Puw4eVWcs97BTAbXninCxQlXcouiD7yGi8qoblMnZ9mwxbu6rnoCmG
Q2Y537qeggfsAcIWUY4kh3JKEo2+71KgdrCLzOdlkd953CaucWJveif5DvWCDN8ImEueIDgtUipk
uDLXFim8F4Xd8YWGqr712IZ3iWrjr9QUjPZZ/JwHK3vTBcGfBA/bFPqlGSazXW4Nq7KPWanXD1Gt
9H3rkc3JwhlWSAf2RlK63/tcMwDztdbRrLPDUnrM4Z2eWXk91eUuJYX4gWRJzGVY1M4+o55L5F7j
54QtJOm9YM6nZn065Ku0fMsiOX5begdDUYnnGY2P7V0ocpbxmDBMzYNh1Jo3O3M80DgQsU8AfttD
NVHTZ47p7tO0Hg81Q2oekzq7HT1zvsYxh5Kceex8GqeBqtAb1fI+p5geaBiteV1W4T3OtuMwqkGn
4qxEZDmRVDXWmR4KKvn3XCPNt1XN52by0vhdT6oU2YtXncMiqpy0SoMajEu0Lyo/Pihj3oMdyPal
AgRnmDXNj8yp1RfK3YYGBRidYPo8cyDBD5vOzj48U/pEhFTLPVKi5RW/i3NfVjPTbV2mHXkP1txt
CIkwAqZ1BPKkcm9X+XEUyNRlbjg3fWYxj80mj9muXZUUO1ph7UzyqVFuKfs0EL4Q9C5jp7HVL11j
Rqmi2659T5YDQw1gbHe5btE40mXhBVmZvTSoVF8whWIY69v2ejRHY2uVs9jV9to+w0tfM9onPQTq
k2xsZ2u7qFlqHaSPOfcHc3LR6MZjYDWudTnbwqCQ8pdQ2GTclULZnJHhtLRdTBAam/HO8ZnyuE5c
nFiosC0synuGv1+j3W4bIsNMCDrCiB9BivnDPtGH6dFxsNaMXaV4PvzevvFg+jm4Bpz5iiSZccuK
O5N5UaI7VjGWwiWuxeVkpITa0E07EsbVvWqppz/aTqOwqzRL92UZfKq9ODOfmynV9y6qVe4qNpna
4f4jTFRbt8tTIiSnkTJklKhQQWBT5yyZe55KoqQ1fshUGfQL1FK8D7Mb7VkfqvsGRxzlUKRd52bj
ba1ofFYpG2tvFCWeTFlXe3siLy/Np3tZ5e51bUfouhTHAcJ0JMebTTTayaVOBtDR1VvvHevkrYbC
NegmDVmzG823Dl347aQxyzY6sofWxkk6aaQATak6OhMRIpu5WpwnRxT2q51pgd5JdpIYnqPbqHqP
NpLsYxzcyXU02fMZfRdQimzSPxhckGW0+PZtzwQvdexFEek2Z+OVHMg/4O+SB2xPuEANQYyG2U0H
Su/5Q3ppcZt1tjg0JDpvW71Q852eIRXrsaQPniKnbx0DUUktdiwoh10N6ECaLChWOLTc6WYB6c4u
DTa9H6O2/4wV/masYDjAWujug2/996OFQMo3pZLuT2zo//3Dv88XrN8sHT+zzawA1KHu0N//MV/w
9N/YNxgUuBTsDBnWf/PP+YL1m8GQFjw0HBjbhTrxv/MF9zeX4ZOPn9Xgj7qu+X+ZL8Cc/nW88AmS
MYB/AqTh89Y5+R+GkXqU4mJOsW+5VoWTazKwIY/IJwnD8Et8kWa9wA4laJBp6RBHjL04VfZLaE1i
0sCIKSsg5VGcytHI6EtXJDH2UdGcEA7mD1kyao+2gRA9nqrh1ilKedkWLoE6re0We/ra/tZldwS1
31FGmSDiAh+VEF1xacoD1uH8aYmpKogyKr1LYkSsAY2N4wXGGM13zkRG8KZdHuLenINFO+RF0Xsb
MdAo75O2vZQeCr8Jz7HYzRXISfbvWCm6cSTZ7kt4S5w0ZsB9fb7oDxGCpRcTofID3egydHSRnvHJ
xVdz3hQ5suBhOceVb3+dJIQxpfr2bRQj0CsjO9qpWAG1Joe2KjUywToVlbcTfMsbxDvplqTDDCnU
dBnrqt4a6CeDhMH7DjJVjO02qbHDOMYZBc1UbMqK1C28kUl2aoDFnkfHXyY87Ln/PcY080UAl5VB
6vo4XxIXL1AYC6yjytZZ1s2Mrq5J8ZOmsbhIuQFBnzGgZyceLoGnkeRcRlHoCux44YJrB0FJqVfB
MjXlVrJQmyFHFfeqd0ZcLqVVvOtUnP6+RaykbRr6kwvq1rk7Lf4qe7Q7xGLESQquw6BifHjsAptY
M2kDCWeMr5RH8tLklzXtiqjD+twTi4F9Naka1PIIdFoN3VyBlx/3ly7kwezWIyhQ0gG0wej5AQ1G
xlWzzf6yQfNK7Kn0o+SQS73/XrflKHemqKZDzwlp71KY2mxRzrwVdU+Ni+B9NdbxWH9RliluMw7b
p8jpu0eJtvYt1k0J50+VDblqMY8iSuKp/tbgGnzlmAC8306IINj4aVt/NXoFrGDBCJxRTpXtgwFo
B/mBoUXhUo/+KUU4e1tgV6elXkokmUg82jvPKaenDrhCu4kKXXvv65RWrGcY7YvlZrj1G6faexNu
Q5CL/vjY0eEgZlsVMHhblcr5MAowyWj7ZHnJprhxxlzgeFdTg/t2HJ/QRNX3tqqWo2mU63ubEU7v
SW0IrNqB3qgbNICRxk4QN3SRnWNervWPRjAwrDbPm4OedGlLfxos3GAnDonQqwqdfuekP8dAQV8c
HjkUXQ22RJ8j/dp9Y3K0J3MMDILZYAboGE8QmNl4a1C37IiZd96jXCyvY4xHGUMDtjDzG81xyNR6
lrZn252QnlmGNb1OQ1riL0TRHpMp/ziNPR4EzyQtyLbERVnkIzDjWPGvXeLWiBLrkA3TsQljgCBb
4Y2YyyZVXbg6ZISNOZPeVs7U2Nlsoq2avOgwz3LP915gQ+Q1pTLSLoiaWGOatuSU5kZPvsD5VyrT
9WmW+k6gGX1H2Jlq6aIQa00rfCmZJ1kLeQxBMU5FtQU+xHxLyCZ5h2wkvyx4jyhAsMpsG2USP6NZ
YnwBHGQYu4aTICbRpulfCxOWAK+I0uhBJMC+N0thN7f1jEhuR/eDCr1Y6inEWa7wHtgsLD11/zVm
e9q3M3aYoyq67qWDMRskRfk9K4aURkbLOk0/x7mUPvbmLV55eBCL3+CCE+nV4gl4wb6chmcrinGv
c0x+NQYX739pFxRIQrPBFE4RVXKBw4EeJz3wb13p5Ye4UN+wVFnwPkoSANhK7LXOzpvvQMSYpWht
T5u9VON4lfS4rOAAwrQN0cRRn2tQEmRgYR32NvxOwL29n0tMoNAWzZBI++59tqhTA0LV6RzjP4it
oTi0RdtcRE5S3hRcKXoONXLKsBjzTCFVNDt5qAoldlbiKJ3SqoSxmAI3BQdBZDT9uB6HHb9et7qQ
R7P5mNCZXjChJPmXDI1+g96GxQmZ0EOp8bqRGglNMYck8pq4nW7R1/K8O1W34ml2K1oSTpOJky4r
8cVvh+bFJdHwwkvzmM6QqzS8vmgCb2rllTdMs90vzexmXO7U4fFxO+ZBu7lGJUuo0nA1u8pZAmuy
4idmjXoBbto1PvRGN7xLvqE0QwdOIggYb/Ze1QSklQ1KQGtX0i4OzI5sFobRdh5Zm9rTUJCGO0aV
2BGW5IYT0HI7mLQWk3yuJZqErJsbO43hxymdI/d5TtGI5hA4brLUBy4liLz1IT3fIlQqacUYxm3K
ihQYlaQNGevZl9rHZI2Y6rXWXfORAah1m+WzCDnLmofGLvTHRq+0d5FWE4qzWEB1RId5TPWUNqJM
rOiRPi9z0ip5rCpdu40qAswysJAEnMg0u0XiaQT0pqo+gLXMgZ/9juy5RC8BLCguG1IoYtKxxeTe
tD4JuVkDyCij3YT/2t4NbtYH8GdGpra+e1R4ow5AFJdvuaQByAw0bQPkzfKmcvLuVNQor+vRSVA1
t6+EWSz7qfenfcQkiDNWkbxF/UxD1RtREbhjCTwI9Zw9yHLXaCMZLZ4ntC0yJC+ce0kcneg60V65
WCS+5piZ87WNP3lAguho7lBUW8c8rllcOiyPR2R96pHDTnUotVZe+aBTt6qb0aO5MZlZWfV56rDM
vcUCFFR0iR4hxvh3TIkg9wLx5mwgQaluK33s3hYjHa+8DkbMlhUBIW4V0eVjAPqAvKC+NXooo5yR
cEfr8eA8mDZUoSCHWr0fgVPvU2/yrmfGKuqy7FYnsK/L/MrBQ/tWz3702jOAv1eu4X+0nHjdVVDH
+BgFKS5IFBlq5H9pNdoEcV/mt8lkcXC2TW7xxsBsfGg7hXtbWdX8LBaboUc217dZXXJis2jZJhBZ
DJORH0UzKohYPjFXlO1u9L1Ku57sVl5acbqEnT1G0d6ULrLpNCES9ehHyN4PCqff86DxRpZFMty7
cdPsUYgbN6OQIJ2U3WG56TWWB6d0472DA/KVaWR1R5YBpgnBse6iZ0586UhG35slLtKTO5vzqaVz
MaDB1/o7ClgmWVj/5QtzHDylzHEBejBzMR8RfjXPpkjrW78D3kq2BRzY3iEpnW2L9FO7abmjLSHY
xFoX7veKgFHCaKWYr7UBAoFfl/SNFn9CeDwqjaOzC4aXJrYReq01vympaHt15CZurbkezqnIU2/n
m12/GzPpH9J+gVqTKaxln7+yIWAUrkszvPqD+2imUFNGurrPvJzwa5qkpME10j6XTfHFzvL7XBYo
ieByn3yUa7yzEVPujK7yHtAzEbzaXKuQ1gI3PqLx+VwbLTtIVI9xBoaU3toGpq35lCK+OPmQT+79
qnKQUzv1FYcXRhbxnL+gq8Dy6hSd9y0jUBLassZgf3Jc+5o2DyPALlfTVy/BB3NRTeYwHzKfDKYL
WQojR0ITzwdF9+hblMcgVmClsV19zhghg2N8Eq3nXwMkWA4GO9e7hqXyPY5h5QCuWUeV/efY0im4
1xt7MBOxF5WffBn8Tuww8NH2Xqedul9E5m5YZ6BinYYamS/v3Vnk1+XQL7dLYqp3pjBsvm2UQq7F
8k0NEUf3OD07fGaMWd114NqOw6XRrJ1OWQzOm6ySZtqOlifNrR6BZISWPRMRQFf4xsvcETICqRMb
+TnY7XKbIS9gdQa+/Tr7nYamY9FoqiLd5L2wX/TYaKZN3yjk3XrSjptG1+tvtI3VYaza5KrqmSwn
xdg8tz4d0G6dO+f0Cp8GA7tOgL8mPvpD36mdMU6wKwokWEfNX0fXGZ6cg/icZ5MjCxltluorUggG
3szJ+hO9/qLe01tUKMkMUtg4EiQHpx3FoZ70JtsoIMdbYx2f25+TdPk5VTdrcpJBY9mLgVMFjXnp
0MIuijTCqTJRy4UiMqpbejHkvuSr7mc2+3Rv6x0urh9TfM0Q9zFP5mE0nPLsVUvxdT1lq41k2pGH
vWVqD/oqCShyo33OpmY+ZqtYQKcFhWVhlRDURmfzbwa8/qMmqstOn+sTvUiMy4mJrTio8ip9Kyp0
KQehkvhGVBC9yfGomVORD5/e9X7x0SrTQWKXF/uxzdNbDVkcUwH0OMTX2PZlLCeDtM5V8QD8xL9f
kSdby2NYj86gd7JLpqgUJMy1uosusbGCOYtFTxGNWI21o9HRDJQJRsZcorKAiE1QQ6s6bg1lPAOk
+XLAuHmh2JHegP5ikiiTqIvgKQi8ECVOGdQjSkUDIgYFi2VUKckKnQNgsU1dnJZ6tra+LHnZrdIT
UD7oijy0Y8s0FWotI4t66/ayxRbvZMkR0Uj3PsVZdQXIgZVEiyP/roFp+KWw1zOF8uw8TD128UD3
jPbG6g3zBPFj5VMN5WHIXCRmzPyaXVwW05MlEMPvC6xzZLsM0Vfc/AkDFgdDeelbAC/Mtl3iZ7ef
mOUM7kjszGd35j/NrL9pZrm+bnJp/6qVta9+Usf+/z/xo3/lWr+BzbcJ7kML7ri+Q7DT7/pYE32s
aSHfplmGr2nNm/q9f4UIFi8xEm/DpdjlxUDF/099rPWbt2KPCZyymPGvYWn//V8/JU92v/zzHyHf
q/j1J3EsX4yWmgdQ2EEjq6/drT90r4SLtdPOx3GLKbACgigXhmUETxgGVhfGsNPfgHr/JN3//Dw+
0AZgzPX4JR6Qch+XVE6fZbFIEYJ5/kFoQUo+H2bTP9yD2x+/4Y+/TJirCeSX34YiGbQgZgemDb92
5nrHxospJRI/A4pbXNBIR5cqDVhror7KUMJc9YuZ7nOhaJE3rf/dyWmy0dLJjoVv8ZI2WmZc6DNR
F5yHOtT8mR+3z1aecmYDMGdfO05sXPS66M7zCAgv6AyXpTmdGE5wBoW5g5u3eteinkhoLzMeCw/b
5DoybIxLZbX6bcK5hLI0WSIqONd6V46stp03pkPgdSBO+kmT74BUqPeJ5QmrKF9uEQwQj6CaOd43
qJyCrFfDXQqU8LKhGzocGgtv9IYKh69C2z56JnwP9wnn7IWZX4w4GWHSzNqsxZq7rxezZaKXp/TF
e59mA4yJlrwGEzXMR0EQ9YXbOUc35nkwhl5sNbc8lbPzWMK5rsF4mFgjUS5eJgDhb/EeEFkrMHVF
YCXjpH7RCjywni7uUmsp9yWVNCPbdpP4REM1dYvCwtfa00yYbkDOykCDhY4Ds20w93h8sB1ndrY1
MNZfaHP3kvg9h/vJysK5SVZtMKDpaXCJT03THRZbus5YHkwDlA55ewRQwS7NYnFnMEXuhHY/NwMq
VhZ8x5jkftXNhbArjpCLwMnXJh/ftmheDRKU04RwpT7lv4CscXUOHFRaPvEQxAVUkomnY/Hhwin0
cPD0u7Gnm9dXLa8OzHMUIVdFGWehcOLzGPGoMzDxQshy+2TU76qsDb31imaM5sLIkg/KgMKnT+K7
3UcnI3NBPDKSzI1iT2CBt0lGcrY4td9FZjbhwjW+p06xM0kioh+o9qaefkDGzrZZ1L7Y/APOtmvT
TD/IYDgVKr6I68yAiBGtB8bmIcakR7Ni480DSSDZXhE0LPM22dY+AaKcaQTG4qhp4lNqWgybU0yY
N42yrxOteimBhgSjSW61OeaXYCrfGf4jq5xaJAEFN68FVb3xY6LWBjX6WyQn2WbxSlxUfkNBaXnX
YpbxtRlNZxl1zxNKr60txo6LkYEvirTHyIxP+Nz1YDExh1bairBzK6g+UbmZnBg7I4krTiteaH7w
AyJvQ3VIesyYnEGogZLjgIQAyw0URiqOxUMAyYwuJXTZI42SIWw5EgXc2DtJBgcqpJFk0Rx9OZnv
Jj0msTwqrRsIwXAfR51fWrrFaSi5D0jRzz6xGT8AwP/ZXP92czUMw2Jv+/dzov8pv78Vb+U/yBH9
x3XyrTq/tf84djn/2P3RksJc5sff9HtygPmbD/UbpKmpg4zB7vbPTdcXvwkdvrK7krpd+9Ou8s9N
l/0YmSgDJQL0UCauvrPfN13nN5YC9mNiRW1Mh/y9/5dNd50+/XFnWn0ors43M/hmDLZW98sfd90O
kRXKUeb+cizMTWoX57L2sq3psjJJYgh3xOV+gIyFjOln58rowHoQ6BM0A/k9SUU2jld2YTSNCCrG
5GmoeG3/cJH/xe75S/Yxo2yaZSuPnbKAK0K98fNXNIeInTzjzOgVqNfx9RORJEmrm6V/GuC3odS7
djpIZrHgzYXq9jfb97/5AhYSaC4VMpVfwiAxlNbeSMAT/ja+AJlTAweRnFybJNrKphZgFCPaEz7J
6rLpN7j5u7/5Cr/UKp+XgNxZPEM2gjwsTD9fgs5KMHain9pjF0D2a7iPvWQNbMq/y+de/6I/FCq/
f5DDx2Co9ekH/PxBxHcBa5urZl9WBFKqWPk7V9UvVVP4O3/2k2B26P9jczY3A+SCAOgc5t5J3DG2
JvuKjvPW1MzorYOTtW2hRt6b8GyD9b3YrxJ/lNXVvG8LK9tqNctZRsLP1nZqIBL9gOSAFt4u6sUt
wtac548LOTfOK9Omo94SnGglTXQRl+x2GsCAfWejBJ2jL2gWeVqL5bEyPHtnTSNcyS77MMwl29Kw
PZca4XE5rNTF898xKtybi/v810/pOlv9+cLxSui4zgxiWyzsoD9fOHfB24Cevt5zTvW2yTS/pozm
MKGrIEIEGFgy9hmpYCj468/9NZqGO2bZJtU8SRDicxn5+YOL2nfrDrLNHuNTvoUbkx5db1EHCksR
UuPi73KXIaAcsC/JJqsxcLNrul7JDQW2ADkm3vUe9YqN8nKDOSEL6ckhLWzGeZ+nkQJaJag3SbD5
O9i8EH+6aNjtvNWbimXPweT783dHPW0hG5H5nlwIpkZ4qDh8r1XTAMRr7Ktt5hL4qCJVXFN6HDF4
HccsvujBxLFBOscfC5A17aA3OvjmN17HrknoZBe6M7/GyTGwT+by7a+v+Z/vtQU7RVC0syDZmFJ+
/tpkaGl6iygRPxpqUqgRfDBunB8XunVqHHA99Rl8EfF37+e/uGBElPkEZMCk/VMOUS+IDOtR/u0j
pNH4CpCA+onqwr/+fb94Y9dHCscjqdUe6S5MiH+xtJc5MbFak+d7Obvl3m0bbHCRPP/1hxDK8i9+
jOVjTubYafloFn6+jMicIeelA5l+Iv+I3AhBo9NRPMWktm7ItOG3aSN7y6BQzhtLhrov/zBia7kD
tYHnrMdMsHrYDGvwg0LBppRLrB/yjoccDDhUK10jn6L0HjVHm2EjuteoFttjMvYeRSLl+2Dk/k7D
CLbFhSC2YD72+sT6Rm4AQ/3G17ZVwv8NEahx4nRX0i5EmOhH/Hmr8QhixHe3waHgbZppwsuwHlyx
tviM/mCxSr+2dkJ0T5MiylbUI+48lZ6LJTnbqXmHZDO6iGqyeizK41b0lPU9VHbdLw/axDind3R/
l5Pb2cbUlT1iRCRnlPxQ1nngDJ7vMu6gpdT5Ga/N2smOvzRLvWBZ8h8lDweRxRnf27wrEx9HNrEj
W1MoeHG87eO6euPW7p6RJ2Mn0VoPu3YJiN3iw3I/td5oNbIsC8jbaznbxZMXmk0jwH3neG2E/bVs
QdrFfSHuwYZTPCSEHTuLQ/s7Tz/AVYEviInLgjc1MQNX963I3nGvAPk381M80pgfgCnDM6+7bcYG
EhIzjKqg1V5cve4QTrZ+4EvTC20GyEHPRGHHWlbuMzs5mxa3gxFkwlCSHTifFdoFqzhhmnxIDf+R
hit+tL5VYRZ5ck/xY7KxDLTwTG5N2bX3TrIQ/lL3NxQYe4xW51bv2mPXY6XTsG9u/Ym7WaATC+Ab
MSrKnV3T5B8wlgUTxIFUy+FyKbIPTmH+foILFMYWP7QbC5uj9hWcE7HOWL0Q1ex1xlAvoJ8MOcfk
yCgYVoRRzXNerVvmXFFfZQj2gnnIPjgL88RyZ2cXzrNR8a/0xn5iPJByxzmICqvoGA7GHxU6d4jG
rNaky3mhJqvT5HLCkxy2mBUWZ7MqckwIBm7KQfMeOpHvllSeyRaHOz/r7aUTuY+6Yo7eUp6enJRT
9eeNoTK47pwWJ6HB5vH57M4jj41e+7jXIthTtUzOXkTNaMfmHfEw/l7N+dnTB+SZPOGG4tX4fHDb
he8dlaiSGCqhl3H2+Aofa59ChhSG7McrUPCEGYZ516mWeOGB4pMJC/zAaWUaJ2u1ofH3VUVtbjzm
3pyruf2dzuuCNETfCDHI04jdaYuYKAlqj4e2Usn584vzdali+nLZpRp7GsKp9lLYffdMj8Hf9Upn
va4nXjVX1rBVfbIKBu6di/hiu5AJYiC/DG34z5tE+WmQTsOJsMk4SBFb7SbFSbBgAdO6dcFyaREs
/A4e3ezHDS50+07kzUtV8145U/qBj8DfwN0+fy4XvZt9KFIJSKBgJSjTmA/oOLpiZfGD2kGj1RqK
4zxN4A2HAeohHBYM5X13M9gGrXWRnvLKy8KsYVVioQJrudQvtqhOn7sTREGoUuiNdrZhRRfojT5m
PYpumfDuCoqkIKF5vW27Ei7nJELW0+9lzmJiCp5cSLhkcHfJl67jPbY0/t6BtTaj9R8i4dyDjD0r
6qt1OZshca8Z4defi1Jvs7xI1b3QgGJj7B1iQJ3l0OT2Hecd8lYNXhWQ5OdZWy1uJq2OfODmfp4m
5FqwOImpkfLOw1q515+/kHzbj/WVaBL7bt0KXEcw1eeLfd6DWvig8LWRuQtxjdl4Qplv0wFZH5sS
umMkbOJEEOroqQUkqKUjUcf5tl14VFpCTn+sdJ7FYmJL77GamcxbdLK2rCbjTefNip4772/Kmwlh
cuFPefiq8zXgS613ZwJTFthLdULlpodEhPA/1ct08bkSJ+jHwsSJ83BEF8YbTJk1L96jm5MozrwS
9X+7eNOuWzsWXscN6BPcMElFbriWFcl15etZ6NnkQuORwkWhc8U+9xUz40t1a/GcOTbdpWgLWHHe
wx3lRZy5kOsTNi0sxrKmTGel2YGTJeyp4qFrfRaevOaxQneyRsBwa0yfgmK9u+iIXpKSN9yVrPqc
gso907mBox+ngs/1N19XR8CgdNOY1Gw0poaHJu3Udt3jWp8PiCVPtd3zArlLdsKAgFtile2AM8rC
z3K4T9J8249tdqVF+fxFx9p5cAvebjQ95kafsvPns1Kq4px68qNcpkcodDMbRksLaeBSr7tN5LMu
ZopXICJR+2pynSx0NEfHhYb6wlKw/2wBarwn/GrHDAV0m9Mm1yN8Abpwa30O+CltGnkAUsSGR8Dy
Natkc5lYUh2tkZ5RhyMLhoqcwt5Y/B3eH29bVT6p0I0C79+N8L4jaesHyK3xWbprb9E0rGQ3GIif
kQB2e9+VlBoThNameolwkKB6aIpvmp8tD2aeYlkqsymMa/WQMgjdc87B9BQZxguq0wRp0VxSEZtJ
iD0lCk1MlIc4b3b2wjFpqOK1NKiH6tja0kUvwCgI3JRArhPRM56b6uitB7hMUic3S3ttGqAWXTJ5
L4AsnnuNRLzUxSKFhtQMxLh0u4x84ksiJvQN+RpnwLHijgjzLESKwX94Xbez7VEefK1AfGnnWQhK
PAlwjdLyxA8YdEwxN0ylLWqUZuCARi+4RIwQDqJ9TxcKNjVAhDAa8pB0rBdb4VpQMJuXfA258XsC
fof/x9uZLcetXFn0V/oH4EBixmsVUBPnQRSlFwQpiZiBBJAYv74XaLdbIhVk+6Uf7PANXatIVCIz
zzl7r01syMVAig0WL7PbM7fOtsj+Ij6eoRjGuyiwRM/fvVTYaoXod21vn+idf4+LePyVE7J9IDop
wj+NR44C6od01wnD/KOfuDxrImHTAnIMcXEAwNYQT8VqaAnoqVI6szqdN6uG/BIZKZ4Xwje0jCay
2Y16uFr1uDxfayNePMR9HEf9Lp7pXXox32mMG5YQi7Rm/yXh+Qs4t1PrECqLDwuVjq/9kg6LD3Nh
HhqTIGmr155sxa6bNcI8qsW6AcpHmEmrn7eamQdVzJapZ30XtKnQDk0KyqKb8Dt6a+Wz5MwudPKh
2WzTFzHV/i5JuD+JiJ2mrpL5i6msZv2GQV8UnEAWpI+XMdNwSgqveKia3sK3rT8OBlsFw/fHKqLF
UeZN+yNefIvtDUorHD5FBAOX4AQXAdoFbkw6NRyEa81g41r3cUvLz9cuMNwNuUUrrUKoezCeZMv/
a63obZ/LnWvymuI1BXalixsTceWmqEidbkvWbb0uUQrmvTWOz8y5vX1eDTeJx4qJfLSVWsUUdOEo
WH/OteUt6D7suxXeSeotLV+u2ZAbnnM4KWRAcEe29ZtumbKNAry0HZNuOr2OlVLdReHkgjApxnM5
i+8UkM1OH0hC6nSj/QKx9huGrctYkadnzP5pbNnUiAPKL7KRn8bjVoX9TnG7XrdTQI3LRd5z4iH3
l7vR9u5pOT/LuTzngjFdL+6Es6gxL2TLvYYM8HO8wA51I0JKZYygLqfyzocEMRhMv5RR8LumLd6m
MUuu9VbIb6nOsweRr8K1M19YrDBZsBp6gCFcsHimKCx5zpbrPeAIac9iLR3vywbVnWpZbsbavErj
eTvmqxRr7YVHHfecvEmmSw2OaY9ia92kS6qVYZDcvTu18MtyxzSWQe6rNNs0dVsfIB3uI73vjsJn
MqElLzGnfdtyDuHavIxNfs7XE52s8pQzAv31ulZjlsllZNlUedwJKK6NEDWqFmr8wGR6c2ZWcw35
Ya1alokGkYtCN+jj9rEm5B6lRj9exZJXykBZwK1SVXvVz9FppjOJ5KmYrnJH5bdNPyCK0EWooaDa
Tm7C7Y6KPnw95TDfVefpwIjFt2Z8eZ4vzmPJxxQGa3hKzOV7CcTuJ0R9f0vXgjkErhui1nsC2TVW
k08I81MxwklJ2/JFX3T9uSTo+bzg1Htd/dSboXKz9ESx+kITgt+qcG69Cfe0b9xUdO0PHQKYIJPa
r7VRZVtLc+hjf7iwoYNu5nw9A9ehTF8bIKC5Q7EpxPKm9auSw8yX2wSe3dbQk0tCWPDkF2YOchQF
dm6rk4ZvhR1Xns3GgnABFz7iBo/7qsUFK9WMKxxJZB1Yq9qTnPjAT+hKsdo54nq+oqGybl7PXn/i
PU2Q/H1c+Nt/ay84KzFPGK6zUir+rPuHbHCHOJvzvUaeFxAMGra2Uo+NpCmY6eRFLCjs+S34ltVS
LLvEKFeZlHywm69eI+91LxW8wxS66zWjd3UtxFxxnw/xNXbpBXUy/DGjgD+WjDoyqnHArQASGxAZ
F2AVg5LgHHytkZiH/4TQkLw4EwEttnJuSACvglFT4hyBz3Ry5FSeTxpgJXtYL6UuNRDC4pR6CWeA
pmzuXpou/lmEoZvwbnvvJ8npLSq8xgexsd4Ck3U+SM0b2LEXoWkR03/eImciYDIoYEBPV2Cd0f/e
xSekOwFrgJY96qgpEZZEJyA22sExuHSVuf2Qvm68a/QbyXNrlcSl8eOv9S9NMej1dNlwIzMBedvL
I7SysVMj7/eZ28G6NZbk0KGI2yUOKHXyCuGiOAPSmCI1P2lXib+0ESnf19xdkw2DXtKfvz1vtiAI
we/3XjMBlGJTD4h8E7fp6JSBtUj5vdezKIz0BaqFnV3XQznc+dLYz+YkHj9+DO/nKRjJdRe7gIeh
B/P8nz9Lb8D6SeoxR/TJJrA2DMDwcIUmkwgznnWTxuyuH3/k+549CaSGTRIpzBfBxfvPjzQrpVNu
Eh6CK9YLi2YmyS7mf4mivp+6dmDQqo3A9lpSJ2Pk2B9/+l/eZuYE/ABkUL+Osv789JKHairGnPuG
8Ikgp6GzrSgoPlnhf3msdJkN2yH+/S9jKk5Tkpa5S+wXgb2/J2IpIMnjO4P4S3Bc32ZFTP3Hv9db
QuDaBfVNG0M1/W3B3Gdddb/pURryY7mWlGofp1l3Fika5ilCiSNbAq2c0btPOD43Uqd7to7Wy6kg
lWES0ALiBgrJkP5cioePf6Y3EpnXH4k5IhIeFjtN4DeLS4KXSX1d8o7l2fda2vOvf15+84w7HiSc
T6KL39It+TybhGmXuArD89dB5J+PoAfk6ERV3u09iCWtYfhBpeGXrlGXwtriABZII9GgfJEkQRa6
+6VNQQwN6XjRG/lP7ELgyzDiX3z8FNap7JtZC147/HYsdV5t53Uk8ts3Y2LrmWM37valP9CnKbg8
Ow1bTa9XHJmGcSQB5TyhSfbVVBKkRM1XpCUlLV1EA6KdVsk9lUkhDajA9Zr855iXI5pg4puyH04H
7UyfgsXiCqLco4nWweCO08eJBB7TZ6GmYuhldGrcJU62CkxAsU4dcyBtwGvW8MVSkTtrrrW1jlEY
/1i51Ulw4tHQylrHdq8HW7bo7fHjZ/OWqcpXtk6SoX6aSLbItn4zLEVwOykKQ1K9IsqF2W4AVuGs
RZFQ0hfD+rqdEzOldVAi5x4G/fXXpLW6tYqm5kIIXyKOOOmWrM1xOfdaaKMFCYf13rzk3Eq7Ml4u
aEmQnefRCY3LT/czsf6Mf87SXNRSBunVNm5oGJ1vlt2g2OdbLptcSpHokqMY0FPDLO+2j6hnCTF1
ynNCgltQOhgPtCLdkWUkP9lW389c8eMAMzUMJve6a715kmW2mNgL4mYPmfwE84quDSsB4qvzyQcZ
77dQRocCCikTXtdw3+40TEEi0hhyiSiariDgArT4IHwbIAwvxYK+B5smi3ftLjdTXwMNIHbG6Ama
iUqCP0aZPBuU8CRCGuduSb2XUwK+inDqtWasKN7pb58jB6ZxWtCG0wAMhh8vvL99aQzwGIDaLrvG
u8lxReVqiCXBp08a8soTQC9fTXJbdtw6p3ICKj/2P9d66VU8QyLny1x6n+xY7zdIF1kE80Sk7NZ7
NUNh9J0rhZB73ap/mRDhtjyG1ROKGArT0CefZryfYOHZRfnI3NcU8Ebfnryw7T0kjZL55RjvcgkH
fh1LkokSYyWNbRq4XKgXxZAD3WN8RcbIYw3r78KBcIiCJ36WnpgvCqtZDgOFNxLlnMq8pLLXInBd
mTleffw1vT9H+YntdVDsOuzob4UErT25ZTfxarnanO7rDluABho/7HXqJ1rZKMj04pOh5V8u/Hwa
K0L3uaGitnzzJpFTja2vMeo9CbksYSwMFOKTcQ4xFDoj1i+yU6qSirY/drSnznyTRuXaM6TfroWl
UYM1rWghRAyKCA4YSIq1TXGitYIZj9usNCkxybbOA9NWj3jj6KavPZFKUDgZjJ93yl13s9SmX7uO
XyyjT29yKqptWWMwshbXIgURTHMamV8KRFcboTHUk0SRAsAo5S5x18t8NPp7e51QIvS8mUb6JK+z
jbogboiZ24+1EnZSxcdNQKpE9N3UpmkrZTfuloVl+PFX+ddtwzEtBDwOql00G39uk9Jb0qQlgGwf
zyq5JqmapgDly86wLQA79DE5Ayly0Tc+0zanm23zRb+ancbeIIEMzf/JnekRve71Jf7nYzqnBO9Z
nbQDpYxvr6NNSwofzU/ZnkrG3ZdJxpfw8W/y/gKLNpbbBWomQzd0+81+38YWI9jW7faVy2HcEy+z
ZhHwSljJcBa3frn1vaX8ZnmRG6AFzT85M633+y/2BxdkGUReXYi3+h7fm3ISByryQgumaLXRTtdw
XRXocDrhJrkmD5W0S1zeSX7sgd0HwG7oKmj0sdP1f9l4LoJedwkLXFimnF1MlFwGQM5sfddFD42v
ftQ6is7X+QOtDWJc6VRP4D+iBJmkXKcBNk32jKbkXi/XHt+0tnMXmd60zWg96AUkT90/bwfwILaz
2DviKujax/4L/2HoUWj6L3TMxb7yENjkLuPGj7+kv9ws8IJ6gihI3+JUdtan+NutC4QQMXIAQ/cN
Q4rXAUFprSNhwURIpryGiyrgDObYXfSc4HjM1luSVxgeSOCHjGEWHVGtbGFsclrfFOv+1jj3UOxT
5uLyW8VEH0gSswhXL+f9xz/9+33Pw5YA6ptvmDL1bY3UK03ivoprwsWtvcBzRkiHesxn2pGv3agi
Kj/Z9d5dnl3WFPdTijJCJjjY1x/pt+eViA5cbU4lSGsbarBUKJ7Xyf3rLKZ7/Xp7hkLQTlclB6IR
gnCYc6rG20De6sO2afPQRswCDoY95+Pn8fagfP3hoFGYvG+ramj9899+OGf2skwDf7NPE3QEquVn
AE/FFIDvCT/oZ/q1v3zc+oqjVDIFxcS7YyeXgJnIvdqP9rpq0bDOGhcqq2PtUDt+VhF7bysElz2O
HQUdJkI2gBhv1moCLM1ZgPrukySxyV0bLPZC4lImy98xavKJS8VfFKarLho3hA1JEJOjEFp1adWW
+3W0Sv86G4iFNPurzvGmsHGUs7FGwC4j72hAd6U7KzxZ7cESOhupqvS8MjMU1Gu4R7qoatel/OXp
0K5JPtpNSjv8mPWV2NUZGZ1YHUmD9jx5oIaxkq1Wp2NgxfjroBgMhOiMOzqSUGTihjQvIzZPaDk0
Jir5VTfr1payzdy7hskzRFB+7jRaFhCGHV9V1Mm7ZdCGAMqGF/Rk2EHZ0J7FqrYTY9PfzFzUYPNF
GfmaVGpAWhGcc6OjI9jSVk+ZUwdVXponBKo2OrDczwKnbKpdJS1cllk7wE3EHkqXLDL3ptt4Bz/l
Z9BkFNPfvZPKuoqT1Ag0usNn8J8W2j+L+N6PvrlXbm5/8qKZby/qqzVxNaeQ6W07OvX6n2vZX/0S
WsEpj4LCA+DKO2YWqEaAwjHZ5i6VGaV+JZum2uN4tMBHzpAG5PoF1uQc4oMAB5f13Ovd1s2CtEh+
FEZm7jykh9gsRkJaWUDhrHkE5bJBop1vqx1DBGu7diV2nrloAFpH69xf//qsVlc4Q+9tF7XJSA59
6Nu9GfZtCSM767xPGk5vDy9kf7xQvMHcY9ho9DdLnZ1TgJrKvV3SLlAwZywDnwV1vN08Xz/CRWFo
Y98V79wrVGE2jYA1I4/oXajqtF8HgsmDXAKV6Yh34tlgm/94h3p7KeBD2TvxFdFhX7eNNztUrHlO
5iStu2tqF5JW7Ldb0pEaxm74BzyTkZ5m2t2xbvVoaxEQ8UlbS7y927sQdLggG1zg6afScflzVc1w
YoasrEn3cyR5iRP4A2mYSwCsmQ+MbP8ofeXt2e3uaTvke9imw5ePH8GrAu73Qvj1Z6BFblDLIPpd
8wx+36V5bVrXaGGzZk6uBcPcdIcSdiOFuA66Ba6Yj9tP754mfYkueZDWJbb9KKiU4d1pubsEyeC2
2w54+q4vF+9R7wweZdNxu0tIiM6TFg7b3B3t1uXXUUTINY3lnLtybB4MEk7xOKy0XoIhr003hsw4
aMUnly/b4Hf443fkAkvLFF+ZSeOas/nP33FOFSFBHKG7nrfqfDTbaafLGODaUA+n118CsGRxjb/W
PSd3VmwZPEZQJPUF7iTakYUrWECqU7s1kyg++HHiQWvNNN5rvYP3bbxItBgHbXCQkHkElKexeQP7
1gxlmw7A0pLuUDQOhHJ78fbO5A5MteF62VmGmoOo7AK8GQqfep2xV9qulMYStJG9iWVC3F/bdPjb
IfRLZ0BikcS3M8AVvCNjcT0v8mFpSQ1uk/5kgyUmL1gHj9skw4WRuupRg6P+8ZIx3520PE6a8Ggq
XVrB+PL+fJzSh6ezUDftIDuv9mat3brZcJ7G411ZWtHW7C2xW5QAN+TMmFnoeG0zQqgPuUfULKE/
mLiYL28Ln9csq4bkrMlj/anBBMN42V/O+Fuc84EcNSbCVnWgkdRjsUmcfa4Pa0yVf0aVp29BtkUM
VDoLXApwzLI12q3m1A8gg/odIfT3JQ3pIF9gtnz8BKx3uxUELqpN2kY2aRu0S/98AoRZzA7tFHsn
Bg5vEujN78ZEkiWHFksAgokR9rUHnHmctJ2plRpCnCaBTq28w2yBbyKHvceFVpdf0niVd6S8dvkC
vnDj2Rl5gqNkYTqxFrSI4wIdxAB5HqARReploP49Ab17Bb0nZNAb1t04mI8QIKBO+e5dlKQ/qXUI
H2M+dVYqzT3EiDYu4ir1rhX3yZBQ9ib0h4JyvIJYB55G7R16A3uLkd+OwSQLfeAjJ78wP+nh/G3t
MLmwaHqz9727FM6kaTCjZO0Mhf2C28C7Xt+VFk/VdhRYFD/+otx3J5fFV2SiUKOTi7XUf3NBLnt6
VXqv2GGRUwUZc+hHhGXJmVwqPOZLOe1MkGaXQEmTM8Nr2fCgtTC64qGvhnrYzuRgME38OvjR+Rg7
F9FCrK5A5TM5pznO6qCZea+HDMkr/+5WcicMNJ912WYcH8bI28y1/aXumuXGqBHziWYZfoE/6A5Y
xQSTw6k6zzrdCXNwNLsESfyXkdjiWwb+USBgWt/INAX/YqDTAExJi8tZmhDw0QCjZ/KPTGRvwMh0
Bz+f2TlA416UACzOW9wVF6POttzJPN+RmhAFTEzXzLxy+GLDtAi6gWNGSwav3NqGm+3qRvEWKi0j
YruGadNW+nczWkMVB8E4O0lqbeevzPNuiLUd0Bc2I1c4YUIviBsoL8TyyYv2l9XCIqEXs+rR11Py
z/esc5wiL2NUsR5GRfYQnl8rAUIsNcBo1+aF+Hi9vP88pooo0rliUajbb6t0J69QBoMj3UGG4wIi
eRuQzflHNEfeIVlIzvv488T7iyVlG05pKl5k6qQOrj/Rb0WSh7wNSHJs7dAxmUBjUYYK4TnnGPrV
vlr05GwinzSMO4eczr4FksJ24eSkktclLz/AGUYBI2SnicoZgigHlT7wVeu1BTfDFWovG36V1Knb
27Jju7ar9XC3yZAAkFRc21X9BO0KoE6FoTc1WHSOKJ7QLzZh5qAKzepUC2J6k/e1x2G3ON5FMawR
05350tSkKMAMIa61eCIxowk1HZrA7EXLGX0tIxT9RGOlbu/hJbFTaez8r0erzLlqtXhCH1GUmaFf
IrgXiHzRiPA2+T6nZMISBN1W6GejstS+dtbTtCSnM5bcS3IwQdu+JH9XX9/VV9xsW/bzc7Wwv5F7
yFSoYYnnRHAeUMVz9uRsu10um4cUDvyO52aGBWgGBhaYLem4LIGvJUwB5oacm9c/LVjvKeGGu9Zd
EyRrlCFBDwVwOyEtAO7B35AlRncEy+7ysrBdpGLkPqCmhYc4dcdE6d6FaBjg9wX/6KvYO3Qub2iV
8K/oMTeIKvJV0NWIv9F8q30bd+1lKlAREcJacy7wa2q2yC4HbVkCOYgu7Ofa2eNRwsdbpjy7wvb2
xeJ8cWb3B6G6GF8Lyzjydg7neGrMkB2MVWzP3n5oCq4sKdfo19fdd3h8KE35BDDnARkD2TYpef6J
byqKdr6O19X+/+b7XD/oR80oJCV8FNv/vz44eFJPf/xDWCkO4Jv+Vzvf/ur6Qv0PIWD9N/+vf/hf
v17/lk8snQKegHBWeckHns62r55+JE/Ff123Tz9/dcnvTs7//Qv+ZeV0/2FhuqTdbxq28Okx/9vK
Kf6BD4jALVsIF0eT/W98guH/g/PU4d82cGtajHf+7eQ0HKALOgAF/jo6Mbgb/xMnJ4UF29HvN2kk
EOjLcYxiBPNsmh9/bldNXMKdW4MWVp4JOTpLl1+5Hem3gRn1Cubx1BfZASq/JMBetokCHFD1TVC7
iXGkL5aFjjDa45JUtnMhdBwym2FK+W80Jem3JZU+pEHghm0I/zA+QbnE6GK3hh7SzzPjS1JpyvSg
ATj6BlchqdaYmYp0LrJUqKNjuEEh/k73oSMPYyeUO4IelEMI1MBA5uaR/bQAqQLsbtED5GqsiqAy
Ym/ZLqM/3oBXy9ID1Mth2RqkmYLZnTJw1cjCUB4PGC2uTQMeCS5rifVjtgVRWYArbrjnyWiTNwOY
ARhb0t42WtNBrPJK/SVJ9XpBLuHxpltEHdxWSWThR4vK+LHBv4WmxIvmH6ajqWtiq6NVcVn1Wy+T
Yw873Rqe4FZPR9uzS/pa0km/ofvoDm1kcXCPta4zJ3AIWwELfxSCNC2ixAnBQLxqOBsTs8K9coz5
kfERke4wWiPFBLkmI8FzKRfMpc3pOs0ZEFTZueaFUYrxgjx57QxiDpLExUqXS4IUenFncEYJEmPn
Jt5ZvjT9rwMozOPcJJ0IC19Hk7AQad3s50mAS9oQa9umx6brbP3KW59LHjaL2fm7DB+Ed99hD1nv
I0x3I+yZj8w+8VLOw/qwkiPxeSRkVZIEoFhZZ6ZvNQcv98r5SmAiiiGgJYOAgE+AHWYaNW6zMWtI
kagaaMj6dEvSzktGBk5Y5cioRva5Y00uLRHoERDYRhh4dbp5O8zRcsnRTDSDCf59Xiy1S3Mxox5E
oA4x2yEPx/R7947G6nGUmsDZqEX+SSv6MrSy6I6rFf7+YvhqSJPKxmEKyvpA0Gf/FGV5rIb2OE4x
YLhCJ3Kj843tqmEOTRp4F7FhVieHZXNbmlIDKg1aHAoBj64haxaz0WqFlqfeQWxAtPrW8bBJLpF3
QYHSXXgWxHwimZvzIhldvlUr+WkNXbH3rKr8miq7uhzM3CbuajVR+TW+fz/pN/bQxVe5J90Q6GF9
67ZWfckclfl8bi/hwoRtFZTp0Ze4mO5yJRu4lnl8nPsRUILrtidJoMSGBCW4sJNJdFed4drOzLum
FjkXphgzLsHmOycqLDjnxOegpxKbIaKVIFR/0TAfbtCx02nJZru/B9d9PcgWZYu+jJsefwm350Rd
RUnRcUsBqkkmk4k9JkNaRcJO027jebilSi0QcWp3sLR+kZ5xnaOv2NgR9pRCge2tss69Uoq3LPY0
hHr8CbPtvHqkmyvZjMx7a2D9z6W2scvoZyGSvegr/5qTVv8Fi42VXssz6bg9TU1Aobqv1ZCQphe3
Umc9A9RtM2p889IstyT3LBrC4HizFD1A28jGyW0CDTdTio+FSLrzLNFcTGFATCn0p+3oEj5YzPby
qPFz77IsWqjLrGYPyAJIX5KjCPe08Q598R2cpOxU2KWLJ6MYqA5bN/QAQoa5OVU3bZd2IUSneMMo
eLlEt0Tq2lxONnzDCMADjdo+cDKIMluLwIsAPrE2wJAw5oc0g/dOyuJ46ftwb53czUOfeJEfqmlf
ZGOagd57zWly4J0lArwFRT3Qinwor23C6XDcdcZpQhn6DMi52unUrvzyI2gUS5G+VAw6zVIjYieE
yUnE+9x4X0ffiH/KfECK/Nupev3PU+h3BA40obenExCEVdGhMwNey4Y3fcq6bpskS/Tk6BndoIJI
jCWoQJjNVx0eky9jDf5VdjXOgtFswOxV7VDdV4020z0pxM8+bvzsnC6rIARBQXHUDAdjQrt++4j3
BcfUqI8uylg3ooBmwFsSx+uJ5Gj3pTdeTfj3gfLmy/jQOWZ+O+NCMgvau/A5z2S6eBfL0ufXiZew
RTUy6pDam6ZClq26Z3TR68Uscb7mHfnEQwWNduO6+JU3esPfviGRZ7zwCRw6jqM773v29zNQNNOu
SLCfLOYwHZi8+yegJuRyGNztzAIHGe0F9eCT+BI4IzlnbU8jnats0W4V9xCG0HaGqJtzS3k1nXik
jFtnJMLr4DmglpETCcpRsrwNB0UP1rtDq892eU7EnRf6rRNvmLhpv1B4zSfAliu8sgbu2lq6dpuT
1BBOtbKvyrkzrwlpjO9wfIeL2VI/QGglk3NZLbKZqK9KvySjGo35FRJZm7gCQl8G0wPMWDQMx1UF
I1hnYCr1RJFO790ltldtOxyiGbAzXz3VSuz7BIeCQU/+UmbPw0AVrQnvnPwAsbVpdAZMpLrbRCeN
Lal5cNw3IH2usBQ669qBUIj0ies6Gu6CSUbvDielVbfG2KeXSVQmiL9N53pIk4NLc/bIsZLTg4I5
3sIWJDGOHvlxcXtqj1l2Q0gE5pqF11aPZMN3gW7IZ4hT9rZtSdW0Fyy4grV51biNuEtj+4eLVOEW
imr7goqlX9OaunineUmnkfZsR8vR64UVn6oB2MzPYrbkI/1gemSwAX2LIJrBvpSLHAiSmmx7+goE
nLwiv9Tl0wws55uKqLLu7EgzoGOj0pq3DmONb8KMk0tPKvMyTSrnecwid7X4ME2IbVN7ptTrkLk7
AwQZoey9TyIDQx0XwyZ4tjvT1NQPE/XFJjf88s6opj4JXQa0e7vwBgKoevvCnZL2oq97H94Q07Dv
dunFt7qlrAvIUtwImpFznkSawLGmNHQczbtv6HRsrNR0nrjVEgGLtCAWB/J5ilM6rmF8Nq4a8jIL
Lb8dq2Yk3cCTJklHbZ7qFECrNo4Qj7EL2exksyMqSAYxOxbKyXbp1ziUOb4EFUQ+GGcjx76LjJ0J
cnNL4kn5de0n/wJZ3R+4eoGzm02Q6KZsCN/BL0MUn9dXBzn7C7vfCmEP4SFVD46NZyOfc/Oytsrh
Ns58/7HvqJzT0qJf0kbx7aLlXHlMva3u+DHye7EsfLtNytG0WIV+cjyYkElj2RjEvc49T/JiqLat
3xA6FNVdaLTGN1DV6YnGC+4Jfc6zb4VK3cc5Gl8G2Ws6LLNhOAi92hmEcrJj2Zm9z/N5+o42a43p
nZBFAdD3yie8rcOdkIX1GE0uEGzosZCL487wUkDxA+IIrzS/Lzk+Yg4l7Zuj0uw2FZH/JLtmugfF
TeuKpjtRdpXRcS+phH2wMn0oQnrQRrwRdd7vUnNxfvSOlR2k1iv6V/TLp9Du855ztaZpDNpYzd91
j4QyFHZ4AasoI1zGqKL8TLOy5sLqV/glgXQ/9bLFd6CrzvtKxd4qhHuGZp6RbApFPjX0mIDvcY6Q
XU5puZVay2RUcVh8o39U3tmjlx+Bw5po5tEs4sOxaIJZUQWYwucmthkBfZ7Y9AC96PMwFQDImnLe
2NNofFeunPPDZI3J85yRqrQto2K4kOQNEqgTYaIpYBguZx53bF3IPD6bCQiRO1Qn7k/KWXEepU5/
SjKjzffMpZYHbGMGbH8l0ILGk/aFxOXkWjmV91xPQt3h6KPJuC5Jiqd8KlgEMS9hWcO03XgNa2Tb
0ps6xzAjjileZeqfqRzjjVIx8QO0reNrrAOwnfRUuyJKkc3e1RMkc9NSaC+qtyrsZKVBll7X6fbl
4qc08RhqDhcNRrdvS2Kaz7QZZzx6mdH8mlWcH0XjRMQ4M2h+rCY617scjSq8Fct6MdKBrAWadU1Y
qhSjfZO6UxhpQ74iJfPmQaB2JCCumsoQIYlXbzhECSDIPaIR4U9NzPqSRZ11beZf0az0b3k+1eWo
BLdOpwO93JCa40VmVQXM4wxyf0ChfCtVTTRu6am+3UZaaociHqdjaxHYYJbsAEFm0z4h/aBmPWZy
qq8wfadXPZFvh4ZgFW8zWrF5aKsUnHnhFgOD3QyC5Qqipi9Utcp/wDQmCDqs3S9CE/MzdYy5EuRT
C0wubLiZpZC2l+08zTTaFB6suR0fDV2/GzTV3BPc1aRhj/bnCrKDXl8P+QRwejHsJ6y/Ln80F+oy
jY3p2NhjHiL97h77xuxeplj3ygB8rXdX67i2FiuLH+ax4CTKB5e4wbZMUNHC7j+LMaflOy7C2gWZ
E4a966VWHRM6TIwMzORLOzjGaa5M1Z5yOBTZ3u81QhPj1hsvKz9pr1wPW0MBMw9mQTltcAJ0R9cZ
vG9gdaa7lusWhHnsx0dKJSfeicksjmjwy3YHma8Mlp7Vifdxrt2rRjB/CbARQDTzhnmvN6P5NMxV
e4RIUF/qIp82o+/O2Ixaa/SpJ4m+CROak/HGb7QJWOpYkttrjz9cM1Y/Y1loSLYyr2wxHg7rjZV9
4olylrwfSnh3i6a/CYZKI/RxskeXa1E2P8RjRmABjxggvu/LjFpaJrA+ygFG6qbhxZ638bCYgeZ6
zTFbenVv2UUmYEJMdLb1wqzifYybf4MEpLnwNGvaM8Rb/eP99ChrsslhzZcOa7hd902Z6rMZsJ+b
YBsYWV1LpmNDOFAJp/upIfi00t0ayrrPrQghDBHWqLdHFnPhLxvZqPjH0i7mWed5uR5iM1kwGZZx
Hgclk8czdFeNDoQumufTWAxafAR60yYh3tH5u/S5tul9Vn6ZGr/5Zeejd9Q1v/pq23ny4IMlnjeD
oY/7UdfEsRY0VAl86o9zlXgEoVT9Sy5G8qgiZJOYX8uqmLYNCeXBLKIOqaGt7TmSmoAZA3WcTjFW
Gi5lPnzsHIGYa/+w0Mqvvj5p3xNggPLPoIiMfefkomvYzQWDJJAgy90wzfplQXcmMDRiBf2oI683
nbL6tnP86AdAf/TydtvcFTqRlEHcga/ua6VRLyozvV1oSjEoT4qvlq8Nl0VuTfe1dCv0YOTOcJut
9Svimr3Ar2R00RW6fRp44e9nxdW/1Yr5ELsThKl0ql5qQkqvbKO171n23IQz6yToah8nEanHWA3W
WemIhbw1gYLUNvsj6nw4DMqs9kbebDrXvuNOTkSpOzVngBbQ//Rmfcid1PkGIjp+jkwoh9RAIOdT
qw2iReTnsq/S686dt7SprA065pI0d4M+QxcZ8YtnJV8iRH8Hy5ZhSRQrKjt/3NbUmeFs2u05LAJw
3fBJmrwb937ityEjI1z7Dnoj2uZfifT2aS/L8Wh36Q/hMhmgWwFsrc3kBs079wGjPxkJiShOrIqz
yMuMgClguo3FVHxHDVxdLFZDcrFJicDp0B0QsKgDM1w30JSX7fh9up2bWuA54W3VHJ4fl3HvVBG6
bSFSZxxvCQvMnfNmuKqx/VYEDLtHY0gNrp3rLc0z6/hSjpU1bm2W0LxFiSA2sjfB8My9ewQsF33q
eHs36EZnTj4TRhBnVXmZ3htvSttHGEqFOx1nEJLZ0KlnWuMjbKDB8rsrz6uEc53r2OVDQCjjLURw
6j+IE4rxLAnb5OMMD2SH2PTJZqONd2Xm0z8jv7Nsnsj8cq3A6jT7a4ML95qhOk/eMYtHryFm1nxt
yJXjIJ7daqqIDaBq/Er7QwMHov6bvTPZjRzL0vS79J4BjpfkonthtHmWSaZpQ0juLs7zePn09VEV
lRGRlZmo3HUDHUgEEAl3l9xE3nvOPxqPej8oP+rQZ/DunOBuq0Y3R7UH0WsbEd/OEWeeaIEDFCBw
4cWpAx6UKBwfqkLEpLhg/VnJSU0ORA/US0MWBoOEEVwGbLdei1zpZtuZPKAtNk5dGnAdkpu7Nsb0
VSew/6HVg709aI6nz6ClPcOX5TeSiTOEE1JB7x2ugFytW/kNewbfEChiL/WL3nTgAJ0qu5/E8jnX
0Urq2xRM2gtCQppwKoJogL/mgX1srY58scChhRcC5U5OD89p+j3da9+Tvvs99Y/fG0DUJ/KHRYHC
ii3VucTfe4LWFga9UNxoLV5JHSnZvE6AJokPJAy0Wyaus1N8/Q5B0lFkWQeo4kFCKci2FkrsFrNe
gZ0FLQLrizNvMtm802Cy5z/nPccPxzZcORP3c1xIsju0gY1o3o2ceUsikDda1mVGi2BFP248I6Ie
p4nymX4vWeO8b8Xz5uXOO5g+b2OSKP23ipQK6YHlsK6VbqhPj8JqkjdLT8sPy0bnuszJIxpfsAXx
IdFgaJ3bif1yM5gCLBwgvXyt/VLkP5VQUC0bWl3w1dJiWF3/9fuq/zdbBnALiYXYA3X4Cc3RYUP+
zGF2OV1RZFZ0u4hZ61QqY0B4TVQtm9pIdjnV4LvKqbPB86lQXI11cXHSwj9SoIxnVREDDlgqBUHT
JiVYggBQmpRnyXBj66FXywQnfYWyLvtFEBnVozkQ81DqsQkGSDu8sMcLQsPLgFeaKIFB648ahrq5
4n30f6D7NNYES4qdCKvkgaS1EUhfxHtDaI80+iBl9K9E1GHO9gMEGYa/1tTgkXfcOOMSPrGYYc9W
TLXnxFMtBbPT1HFlV47YhlFlkbkhGFC5O9RtX9rpleIj9WoUGlq+wrSCJ6Rn+SYgdmcVjJ1CIZVR
DGBvZGKdOVyqq1M3BLIwybRLC2yZnGUiIvuVNabJfqpUCuc7jUQHFvAy/2l3DbKNxOkYJK32qrt9
Q93Z4C8LI6a8yZrSpYs7NcOrbftvIazC22hJajCGrKjXfpuEmwibPvVUvmnDWcTtOrZlsM0di1fO
FIOYa7MwNcgs7n9mvkurQ9qp/oZNOKf7oXHlLPREZLiwu97dCrX2H3waJz8zcn/QXQbRyvdz5TaC
jIAURKQVR1a/p4diwEgeaWegxYmnkqEzjd3xgEhWeXfJglvxx7Xww05+o3HL0cF5S4qIpM8bgM10
0Q8tmBlMTrgWXceVNln9WuI0e+t1LXpSwkZ/rmLEj/hvVXrb+4qjaRzih4ne9iVRkMbB4pTyTNtu
VwVcA24QAkzsUIvvudpgiCE/GtU79lJzHxkqrdhZK/wjFil1I+xQ5b12Y+NYZsWj6w7E26QAFOL7
JkLcZT4IpQ5Ow0TeP/CO2tFxjGXWuebJnIVdziSS9s0nae3YTZ7/zTOpM+VUg+pOcNozE+U3KayU
G0nqQUSuf2rfrJULf6V/M1kNUpc1BLT9nH4zXbmuKNYCVe8c4cDpnS853cq3AHQv2hrIloIzxmRN
Xc332E+zG8aa7Vt3KgYB2LZ4JrQXZT3ybzYDQ5xIrat3dUry3TBY2g5VVctcXZks1507ATWRTZXE
29gRBO5LAAxrWUdacTA6g3mi+sZ0xxneTSzttXJKpL1t8ERQ2GtUzy+IHsMM2dG+8qe5sMK116VW
dPN3TcwLTOlhDKGIGqWwtpS/NB//+qCCIP0rd0kEoIMxyTRJxEW4NnObf5JaqCDzCZCovXMDwiPc
S5XUx7J/+P4i/xbHfYp+1EVTfLXfDPXfGOtvFvqP/3oqMv7397/k/1KOG+kzypR/znGfoqmoP7K/
Z7b/87f9LaTYxOGM2xftl80P5z9rAeaE4lldzauHN1FHSPIHr00XpoHsh38QyWi2xcXye0Kxrv3m
ouhELIxUh98rxL/Da/+3G8wiTRVlKO4NKG2LzfSvjwZ1fxPpUjRG571ZMBTk5WawqmxTx9rZQHKz
i/ye90VjMQ66Xzpt2qfAAqn600f2DwgM99vM92d6ff4+4PCx12KINoHO/vp9GG6gFFrh91veiHRL
ldLaNBLikT3RIb86wIBW4uoT1dVFoH8SgJgCLf8UM4Msqtp46ioi9XQa9Z6n6Gyo+cGIsUdGDhXB
PiFmg7APpVaycaAjNa32QXYSp0pTLSyCguB67gNlLZJY3dHPV3HWXMdkvNAhtdcN0ChEwn4DOJoF
FyWmmyi2kqcuMupVYwQfJrW8SxX0e2lxLpbkwdWA/3yhZecghueYem2a8smQCFp9SY6lcR1crmyT
cqQFH2wDE/IaCsjCgIrgNQTiohgFOeQZbcdh4En9VCjFWlQGiY4vSjKBr8aPpATvSY3c6oa9z+GL
sSdACVaP42i9kVNrL+SYnNFgd/Sy9/ScmYWzNazoBa/ZuXamvRitX0UYbR31XWnUO8g1nJZ9qq36
Jnxto1PCDuqxHHS9WtCqGICZk5nYJas5iLBI+59RZQhkEIaGn0F86e7k7xpLB5uZjIwTEenDaE8H
ZoST4mC5InElXQyaznwvHrM02NXqrcltD8+BwCY9PFZjcEWbBm4IWvVkuAmRRXJFgE8rhn0VG/eM
EIyFqphgYo9VPn71mbMbG/VtIhFDYt9ahEP5GgzRWlJvrFeGhaIeCMEvVq3t3nm8qJsip5QdAV08
XXJtv5Jqfw4U/9Uvp0MvjBtKbVTZdnfXDJRR2s8iy86N2h+6fgRW74JlMcLTwgagOtZzL/GZO8aW
3bH1dBMhs8qaYPNo0kZ6hyJTFwQ4/yzAv4nTzpZFE9MVSaBKFlMT2FJ37Ks+2b9yD/i5AtZmwwtf
4kx7MrMXm56XS4zD6aWfskOTmA/+2PcbR864kQiGnamLJXa9AwGZS1Hl2zZMXkXn/0qU4iSnS2nd
GzPDa1kpLB2l+sBNytA5TDuKsV9MLR8gx4tlH4fXybeP/VgtyThZ95ZxMeVD7ZQnHKdeU4fcs6Ys
jux91C1pwbITgLWjn66CuOWuRevcApPgIbWSrRNe+0A75gXDgLtrckrfiJ9ecBxcoznrlYTvl5L4
5CkRn/4UreIhhyVUtPpUuRplTUGSItgzVnJEGuaQ5Jo66yq5Qvl7Q6k9ZFm21ApznarTMwDhtqc6
sm7DYYEB9EWJmHKUdMOjYS9VYm12RtGZsHhq5/m9OBedtg91m8F3uke9btGjab+B/NpeAniK6Y/A
VoaMbLzYerMhrMjLJ8c+9PmwQlP+Q/TmVfPB0sxAv7gq7fIV9F7kBjv8je95Uu2izvpZJLSOIHjF
RUQIHv1I6yTNt1auDke4Z4SmNqY+YtZus87Lm3z1EpB3s8q1a03TodqofPKQcoGq7JwyOmVRPiyh
oJHX1v3alBCYirCuFtMnRR6oE+jSQma06dHVeJEVaiDa5WdhuUsKvJ8zsFvB/7HU42SdIrFeyrFA
WVjf7am++Hn71smshCvvQrSAzvM0yEd7gI4aXTL+2kMR+Is+q5/A0y6TUb21qfWuUyXJMnNUZfdW
yeQlkdQTtyV/D7IppFKs6h6a0470mzSVm+vw8WQIKgGc9gDvERW7EikFqW8IaOt4azvDboAq13Vj
M9Xll5FkG5o9P5wA3yJ8BkhrqJ8qSOdFXpWjp1XOL9T5z6OFUBB4ZgWruq6MObPJJFUWIQsVyVq+
dSb3Q+8InKoal+evVTepQLagx8pdZ+OfA2VXvGHnVmovlZtj4cUGY2YUG6pZ8xEnNi8GCpSwHd7Q
P1/JCnyi0vCo9u150lXK2FgfNg2xinoR7KbA/IXkErq6JoISJO048bEqvn9iLlwjMooQioDly1lB
rCim44U19vV69FcGQASv3q5Ff7GClLnWJYIrGQZ0ocTKyVStnECx6Cd6jE0zpTfSZAkpVYKHJu02
lc3zUDt8ksmqnpuIXWNXTOZ+aFAO1XsRtl5C+Nm2QJrARrEX1ltnJHc/a1ZRW2+AjxaoaL2q4BBS
C3/dhv6mrMWyLN7DJj9nrv3S19puTN1lm5qHoaE/rS+BSvOlhoYe5lHs1IgqyyRuF4n9WPnDkrTG
rYzOVdG+SND6YUi3JF6S76u9Ile86EOP2t8NFra7iVqfeMjG305KOIvO6yfhtx91wg4RmvTAiPrF
ceulRRsY+U6L3NW3Q9odNfs4gl2jEIqIqqsflMk4yZGTqxwFPaK88oplX60x/FXKQ0CFZWGrl3D8
yvrpjMUNvQlad9X4QmUKJdfFyy7VDsxvxJ9FX5Ge/wwD82KI9myIehslwRMSupXaUfRj1e6rExPk
2H21qE0rydHJjtlY9dmqRl7C4pVX5LmS1t5O33uHdLs+fw/wCDZJfOzU7mKjdjUITNnofnjC//JC
3CwqFgp5CdWngxKbaHahKPQ9C5R0KRXz07Wrc9/p22KUJ7bMjPYgw4tdbZsZDb6B7qObuldiQFcp
qg0seiDp+SdN94dQIQDQX+QU+DpWYS0E8bsNyUHUv1EAC/kTPerZ3uBQCPFGcixTVR62GW6vbtWO
lLcZpyl2doOeXlQ3+tU7PZqpIIIj4P4sQNEpge3TijRk9UQ6JsyjWx0DM3moc0E0prh1GRgQCrUo
a9/CU54e9eYeEw9gVMq6bGJ0Cs0W0TAFRD0+5sgGdZr0VR7y14qvuKvyzt6k40B7bfOTcI5DGEFC
VnyAtX40M50ldEx3LgRT0KQHc8RGaYvneqw/3arzV61JDSpybWLNFKRUSUuv30wSUDDwMIDTeyJs
iHZTVQabApqCvjlK7+CIaOOBBCMGxLSuZSjeIFR+6H73QtPBhkAkirLN+rlOym0xxM+xXa9I6fSE
3m+CkWFmeuohzTsOXoKxPcPKblVJPI3fbKRmrexeoXL71A8WEeHheAT5pIah8Nzhi45Jj9iEtiIF
EXes30aXGEY2kkuR2t54G6dwXTTkfeWXCjp8qeCjhzYMuT8itOfdreMqWko21XjYTO49sPWXYFBv
UadyHjibiG00mhuA0MRF5nXC0ljW3XFUs4deu2YGDxDhpFP0rqjhYqwoYS86xAHx5zC0WzHox6is
AyI8RyrKGwLiKvHl5s8h76Ysgj0GFqI0i63vskigOojaY6RJSkCdJ0F2h2O2HxGphKrqdktr7k91
mB86xX5JWghFWT1XU0AatLLr9AOBNISQcmSZjKSjL/ZVJh617Km3VkEhgcG7JqnIeLYFgdlZdg8Q
wnmUFUV7F+dzZ3Mj402b9jbZSqfSEaSFWqGLx3EqdjDgNTNk7bavEI7Fc9VOPV56qyM5rZVfeQty
4cZI1+vE6H/2Q5GsyAxRN5YVsztMwkfI0QGwONa4QpCr/hB5Gj44RiYOahVYASI5kW1dvUyeCxyl
K3qd3BvwMp+k0obvGdPwNsUDDPCJtn3VkrW4J4FH7zykOeEK4o0XNo122gxOoU5Uf/ElnR8YUaZP
CDf6my3ZEgwZa4+FqI21ZgftxQmJ0FHzODuoil0/su8xHzOYjYu+zpuHKkuMJ4fv2FPcirslDoed
qjXloehNGGwF8suuA+64SRmXvtScXYDOBHKL0A3wr7I65UUcrLhrIJ6h1WnCLJuTntv+HpdVs3dR
CxEJrbB6jbXL5w7KdGqxj3u5Lk+Fo5NZHkg1fsQWZj+rtQpiXuTwRsBM60BMwcUcp+KNIgn3DHZU
3Vl0eH+cJsg+nVh0rxT6WgPSzTC+mH1rPVluHN5cQ5UPzeCWZ20AbO/NeLzUhRsepPnco2aFwqs3
7tSONx/S766YpuwXeST1Nwtt4XqsSo4yUKuHurc7koon+sq4MN9DqqK3WdE5WNbG8TOmyfXapUN7
tQgKv6SdFu+yiOR+ZOmzMy+ilbRwujWqWShT5vqFMEr0CP2EosDXNa8w4wy2Kig32bxgo22LSGYP
EOIm6YAxBErkxYBe80aOp/fYSvVzOXYGYhJbO6DHRKuEsBjDXHQtxvcx7Gj2RUnVt6m8QDpzk5aZ
7B8bnkxJh3Mjs01RaPmyq6YfcLoAr0PTkW7h90++Iu5OPl0o6H4T0cy0ZTtquj1z6qiXbxGXi/FQ
RfEKbpamLtvyECsES5N+NQtFHhzu66BUu55ebLBZ86dIucz0+MMkSQHtkId3eN2SNEO278DFYFoj
+L3jirMTmOom9+uXUS+e9NzcRapzTs1uaWqTF8YG33G36RO8V/WzprXuqlSaV6yj4UIGERNlJp56
s7/7inYpJRozEMdFFCYUzCk7Cu5wIQb9rtQqc2kperrN8tk9PekX6aAXoZrVK+J85VYhoPbQkBDA
UN5E0aLTzXVft+u8UfRluWq6F0R0i7ZoDm5IExuW9yDNv8q8uf9rsMP4Nm/9AXZgJLdgdIjeEiRt
4bdy/w50gSdjYrLEsBXpC2t+dJjGbryMAwwwVka5V0VenccimB44n8LbEAnrSSO+9VL7lRgWjcj7
Vwcp6qf9/aok81sj5/fHmt+kcH6nkvntgkWoDtr3Gze/e8UUJI+DkQOgFLya3fyOOvPbSkzNtKdb
tnn2v1/mMTAaemASZR/4vOtyfuud+f0ndTxYZXTVnjK3cTfkxSKBorfJ2cV+Ipe5VpN9DxC5hicM
kORzytCIMOwCn5NHbSEqK3MwnmxLci5pDfN5EIbtoxoXzaNaNNmBnBFE1lPdXoKJbcydTzrdxxBG
8hP11PM5aM0nohIU2i99PiVr2Ua7kIZjt6zCFaQWh2k3n6sKwpJV9n3YUmkzbGXihO95yZxRqtK9
mXHirkJDT55hcFgYwH0BUMJBHCo5hA+mW2g/fFcZVxnhREYZc8l/XwJFN5eCzzdDM98R/nxbFPO9
QY+g/FLnu6SebxXwnOJZm28aghy4dPhpFruAdoIVFEr2w5lvp2a+p7AZhrtxLI7FfIeF822GeP4e
+Qh1Fs7UTD8BCQ9IHtwavZXWPA91pr46smvJPaFW8kVaNqBW1unybaBWg7fGgKwuAwCohGdz1Ym+
IN6cAU4nrWiBcPpsN2l+Jr0jIqlBD88lADUCqGpdsrRthRK6KOJr2/8wM4viFOxvE8sNMtM1fgYb
LUr7/RXpk8w8O0Otxz1NXSQPUx6GXlMU6bXIY/HhVLp+yGIOiY0YHPZVOGcmBYy5+bAg6zT5NNTy
oTdSnH2lqlvVOkRuXdZsC14HXQPglRESFaNAW6hWOa4QFN1Cts3toJhvdQ6U06k9m8TEXDnx+FIz
nHHZjCtX8Z/iuHpK2zBbKUNcL9F6ZKjscoKHWNh/scS8KI5qnYzOdVdNad5RtzIBKToV1AhlOGER
iCD3Sm/OIJSjE43Jiouexhw1iZ5stQ0Xom3ifSjEU6TFT0gZQ7qL3WSb24zZXabuA0OjW6cPR7ib
sWfoaUlxJ3P9PcL/s3W06EtKJUEqOoVMxUlHf6k81swfiyHjlw88GMi3+ler04p9jiV7nYvRxEFe
6JtKpvVS691s0UzmxgkLQjHzQVlgLbDWgKnAKmr9AYf1wFyoL1Qxwn1ow70sxmfSUfLHQSlZx5w0
3Jhd1zskRidEWtlluEwTknzoKYMqUjRtY8SiXDuoRFHW9c2613nXCgdc00dPTrWotBfB2LwPeW/v
pJbAeEz5u6WlTBAW1obUxg2euQauAGgIHquoWVRZNnq1NovjS+wF+FCIkqP7xGtjC2lI4GaMFqXK
On+1CFylaIuJSYas/KHjF8+F3/ITlmytJF8Lr3H7J36ftQsMK+XaJbzu3jgiP6C/9nd66aozpxKd
Ct/+qRFU9JToysRTwIGiZOiJ+/QrNsQTBkDiD7QIN4kSIKMuMGYXgs8udekId5kpUrpDFknVZEum
AuwpMvqUUn8d0jfk/yfC6ngiKDuQuX2dtEKnxzL/Es10k1ohGIU7QsnTlth3xbF1yg2i4NzUer80
Yg5HTWXx6HOHywr/KhpIXb2TnNqwvWo/xkI1VlYV321SZuH/3ZWC5ZrNuER0EWjhMbCNg7QH1K0G
79dYc0lQIxgtAaTPFPzp9OfZRbWNWgoMQl0Jt8EQTK+xMy+ZgSHptibfeTE25IJ5cdtP736UZHh/
yM6xu1TxIHT1i93G5QclqcYuUIR6CAc33qWt2Vz8wm6vPZnbVzTW46fP+XPQ9MrejvNE1c+zFf6w
7mzM89bwPXnNM5iukP+Jxk+hGHWezjhxzbszj2z1PLx1fOLfF++/xVD9Y+7pz/bK//M/I7E2v4rz
R/ar+X+DxgITmzU+/5zGOn8EH3PZ5t/xWL//vt95LOs3HckOSSeqrVPQJuARf6eyjN8MQxdzYqzq
Wkhu/kRlid9QXdJA5s45erx7WFP+i8qyftPIvCFIVTeExR9p/ztUFm3PcER/jFU2p7VjGI4gUZhy
NQyffBN/pjknpwGaQz20k5GB+c3+CGy6faOozs6hKf1jlDIJ01Z4L8oEsoZKiE0FYv8xmpZ9ih3K
N0c25dgiTBAZ2RVmOKTIwbkH5FVRcOiSqdXNuWuScP8hMfuHHg4bDZuBBbHs0scmJEQqdusaHNwE
+2k8vREn2SCUdix0KGTWkwrrP3TEgAlsOSuVGl9Et/59DH1njVI1XdiZdQS+ER92pKUMxdxNBWbG
xHGnU5pNmdcOLcAG5nnMIyDyijOsh6YvF3rsrCemTZbuLjOWVYYfZNTsJen+Cnq14aEKzS0/wZ+D
bi+GMjtia1zJRr/htz8UdRl4uHq8rtC/LC0a90rozzhZ4kwbPawfIz7bSxFlBfU2SrmByr6PAAVC
GY6dxYfptqVxjCV/5chIzmZOYLWCsh8s4GRYHfifWmSbaGx/lLqczv5z4xoI/yqKk+j03JtamKL9
afERyCXOiVWKjavKzMrTnPyrNcmVcQUBEnBNoyMoMYifKtb8sMz0ZW0DWJPHv1AZLZbKFG8V2T0o
utUDDDXjvYsma2fY2aoEDl5GSYECFSZitKuAPS8IHwk+uIVGT6PwfJM1ZroeR+kQNJWZFwvx4AJk
DV+Lj7FRguVtnBZnOtZzawfnJZ+MrLgZSWVC5RmsNHEWykc19SfO4qYtN2RKBJdRnPD43OntIGI7
Fvl1qBXFIyD4FKjmJQRSxDD0EqQScUiJ8KMbKTce6mNQNzuFNh11Cl6GgDYKXCLSkhE/quZc1+1X
kj+iGSuXPZawrWWXqSfpVMOrtjLH3lOxvS8q11A8f5yomdGrs+zVY2IhxKF7cOE4DskXcibRAIWf
0VeNFI8R2TKK+WvHu0pVFnVaqndKWyKPFmkLdyQuozWEI0iiM2ibCptYbmkfJhL0w6S5X8hbTkYy
LUw1A4KprkbrcK/FS5wKt3oKtbceDbtKMnS0MjvXeXQF2Wc+NUcLXbJyGsRQXFDgW1fU7/hRXbyJ
OTEnP0qz6g40DUWt10hLXNPKKPeG38hDbNbOB8LZkBCIPDgoVC/u2ES6Hf2a6Uts0PyAvaqJjqEe
qrswDuqtBPF4amyUdjyqDUSRKt9QJhHRXA3FNRRGv7PtPH1PpG8jPieFJFWTxEOKJA6hKNxDiWdg
rYlhWLeaNqMo03hiwc+epjYan2he6faxWmb3rMZFUPVIIBd16dYfrd/by0oLe1pHXOtERUd5THpn
eAD/N86WNnX7liqSNy1Ou5UdYNWia4aVJBXJrg5d6zLVRfjLMEdg7obC0Z8EQ2Rc9uisTuizolNc
usPR8tP2kPqOBv7Q9+rVcUb1Nhh9daawRjtmSRHeaTpzYd1Q1vKo2EdDGdRjBrDboIshsYKuCnuj
pXp6dvkLggwTOxCnoZpv/3TL/APm31DnU/mPU9sxHXJJgde5BRxUDeQq/fXUThJ4SaOZUHUHQXou
zbrod3HTN+dqNjx0PmHhpTYMC6lj6tKGZFoOuHMQiqEMBqy+i75R1qkh0evY8TxSNlpBF0Skrlm2
GnihKMAB1pGNS6StdRW5Gh9aNTvbviCmqXKnaym0fEExY3qSAbJRnqS7hRIeeb5rbcnzzTzSJ6xF
KK2nugaV6Lohu4guILFukJ3/VA6DrlDAK5meGnuq8mWY8wcv9IGSSk9gnyHPhNgjr0FMMW7UjN4u
KuvN4g0vVxUtqz4oVtak5XeKUZw38o33VNBTTaZTeGErtMK0uSehyctc4q9v7XwZqSlRGBntwEYA
4ZJp6JQ641aO7TEs60efwkESedR20Y8Wfu1oxJ7uR/QNwo8ZVJh49hBLTwthliezP/h1cbQjXv8o
kjApuO+GPCIwtavlKrOyYlENIvgR9taAa2ww1wr2CgLDhXUukGxxxmjp2g6T+FZOIliWXZCdu2mw
Z6c/j9Jk81RNqlCP5AOAs3VxcyQt2D11lhreQzXQj0EkqnOC6OVWaEK9hgm5fB7Jku2Bn/V4xG8R
nQYVgTeiaZ53h3zAn3aAZmVh2Eb4izyp3Btrf1zX85si53fGmd8efX6PuvmNShsHE5I/GucEJ85D
WUXV0VRz7uew6RFYc1WS2duQxZVB4NOdi/tnfoPd+V1W57fat5P8iTSS8UR8RbCDqBvW1XwOEDHj
HuQEdFCaBZtjlc/PQeU8wnqm7/DZ/W6az5VpPmHM+ayx5lOnnc+faT6JovlMcpVS3SVshcc8EBxZ
I3FFLyg1ul2cZHOA3BAc0haqtm+F8xGnujyUvlICFiX2Ncxoqp2DfLsDA4j4QaNxuBmJsYEWi8SV
X61cuioQngaEvooiYgERc8iZ7/RrSvGayWVCSVyNv7bjJthHdMuOB7Sf5OguYV5F5mmBUUsi8sKs
P+d27HiqVVmkzdhuMy11F2wYPsfFr51PTVC+EEpVI3ewkrIl6sxI2m0R1H1w1FM1oDWwwRiw6Fqn
7+CVctrd6ipCfKEGCooCJwxlsHTlWAE3TdbEfY1+UsVcS98Kr0Fc0EbSGhdD6fWTE4zWw6ggGUpd
o1nVJPjcmqm2EhIe/EzdUAmZpiul1tBi+nHhwhuX/ucc8zUsHRcV8aK2p1BZdVnKBNTjh0k9m2Pz
dUqpU/FI7NA4W2QcuzxiWqUR9d7qtwSBINxO9WD7khCNOIYkbGSJpTnfNgTwIzBt721/FDDnq8BX
T7bjlieTXrGFTsAVRgwDM1ONaAHpEMJVHwU1tZ3jMivKYYHwa1jQ9vlOXtCwlvHwQ8uNynNqg3QF
qV99rEVnOjh1D4PYZ2R/oi5w91KnJFHYUl9SIjgcjYJymNhWN3ZYAGhptxhSYjmmDkIGAlnDzBZe
kCEb7yrTPrRiFFvkyUQxR8ae4tQbHkbuvEgzjgr3/0qdyh9pUyjzzwi6R5Y0HIbDlev8Pmll9GXh
ENw1HdjXkBbTATPDsBhxnj9rjiqXsVbJL1Y8nkG6h0oDaUmrxiThRXbw//e8/2kkz7yvkYHzz/e8
00celV39D9Y8ftvva575Gxo8QEXHpPXFxC/5tzVP/40WVBTvgiYgortmLWNeoLD53/9Lt36jTQLV
IwgeCC8Y7x9rnvEb5TXA3aphUDlhsIj+VyzR7wMCiUZs4MGv4h8MDHSj/GVgYM0TFl8GPaULw6YR
Q/jXgcGqGsx+ONm3cR1lWwlz5gWRu0d/heC4DWgHwFX6lJASsDHJ2vOCcBrvWdMSl6FFL3XgViel
clDR+dl4sFEk3JrepOQuq4gE15jjB5OIGDCXtcVVAMNd+8+m7mQnMoJ3TY0u3sQId0iT5qagnUTx
PIafFro8OKoYu0qfXmMnJuE+jUntAq2XcJlVx63JOkqUFaDMkytZMUa/9ReIbsoTZ9YYLsG6VI/u
AtBaovk2UZnYWyV3TWsL2D4+steFr1FZ/iJwI7eXQWsQBzJG8XukQ9MS/r7Fl3mOc4FVO0yTw4Ab
YNkYJiWAJsg0+OfS7GZiwULu3mD2uMVBWp1cYlJkhxl2yOb4kQiicKqhpvoqgtYLo1e0bwIMtmSZ
UPK5ibEZqsVgGbCI9UyBu7B1ahesa/JzuPd0lHvsqOVNHeKfg9WY+Ep8ojFDCcOsqQPLYKO+Z9pI
qAmYUb+RaGg41czgsR9GrzUG5bHv7PShT4WySQfLz5el6asP+BsdiLdgCFOmGY26K62e/0x94A7j
KE1I/PieUKN5WPV1AijbyswIRiHtYkkFp9DpHyVMZldzsh/KMW3jtT/pCf2k9MT5UBV+269DR3EP
fQEd1Oq1T2c1SstwA9jX71F8VQiX3KkSy94iCHMBFtL7dApjJadZwoQQrozxOce31COpb2xUnnaF
m6WneBHfkSLda2uz7C0ytOW0Fbq2xXGJIIG0JtoKX9tG1KcJyx7+aFjX2ZvmsyFS4KAtW+BY5G4p
y1OJARypYn+xTKPRHmRChIXnxg29h6ppp/ZqMDUGXrdmcL7FIPkEN0js73ueMANrw3+wd2bLdSNZ
lv0ihDkcgAN4vfNE8nIQpxcYJUqY58EBfH0tMLMrItSVaV0vZd1m/ZiWIYm8g8PPPnuvzVV73nBF
kbQSavKAVZyf3aYPQ9ydVVPteTYidSbE6E/d17Zdm81ic9D+PQTEo5cK+jqBekMKwhAqunwzEGzj
LuZyJ7du4Qy+Zq17HZOlpzAWkptvc4g6hmSnETcZFa5LHuRhWMbuyn4kR7OdTHu6jZcxNqdmUff1
JQmpYU1LAiw0eqBwFAv0vwrnddeUvGVSA9rNp/wYitS6xpNl/OTjvCmpjfKZeWQHva8YvXshoGiU
elzlHFE7P5fVhl/1lzXf592Ay5A/Q6fJa27I5L4V4gjiJ97opkkzjFU2Ek6iGF6NTzvOUnrNjADV
o716amLZOqFla5JTg+OFhy+doLeip9waIsADbsKD0CJsvXhrlconFGM4JGZetusJ0g6kldL4sG38
frW7JyUdwQcp9WqgMpNkiiiWMo+NCwegRlXCkBqYRXkj4kS9+1P4SH9lvIlZd+11QC370Ce71M5w
F1putyYq4v6Y7ZnrkDltTW9sL1ImJLxZ1UVUUB8Hx33k6LuhxjlcWfUkSUdTrUEAbEqyDKuhVPva
b/Z55fV7W4nPjJgr6M/pZ5gGd1akAbXMcIXtFmfcPJg/deel3/s5/PWXp9N/ddx/FRb+fT5kK0TV
khQWkGys8n8/7otqBOMTm/7BCGnPiHJooP6cEbMPx8q5i5Doaamfe2KjDtHQG1GO8St4UjQG/LJq
WJFTjjgnwZCrlSoDyPOy6pdUUtpMfC5jj2uMmdKBu8TonsumMH9AxuL7bDYaBCqiiluvkN4wxmGv
oZRpxIt5Ss2oj/YRrkdyI6bDYUHs9swtcYBw/HWa4GbiZKm/Thmse9l5zMcIh0s3uZKLsoYZ0DQF
c5sAkQH1KHnoEgMJirCze2xqzDDNMnTJgH2L7MIdZqT+khFK1sBYdn0cL3n94QL5Sp8dDO+YPKOz
FSTJNpGsV6CSRBsytv5aFhASwJo8zMuYmHCcXVQROPu6lsXGx1HBUBCTDh+DPRO3PJGn7H6a7PLI
zjOY1hYoym3a1qD32xSuJXnQ0u/xJcRYIBG64o0SScOnG7go801lJuljPLWmPk8kk9ZZopmdqT/f
jj6IRVEb+cb3Q8xDy+ytlim8ZRyPyyY5T6FpX+EzEAD3grB441CATVC7886hFH5DiLyJeUPr5A7i
h/cZEpOkZiC5b7JSnpSIoeJhwjBv0AJT/IvL1bL7xzWzo83ykrNePkeMCndAQIy9O0Q2i9jB2Jss
Zq7wYYJV6Ybhj6CO+bZCWejfJ4fTC/ObvAucZZmGRgt5z/xuZ4F5EGObo886NWGEvLlmaA1EuOU+
y2kJYVI48bRrSIwZA9No7W3U2NBwQN5/3cpNzECCh3i6VJ3zGoXzuOWVewEiRHdRGhNtg9qyBYIz
4N42n3K/K2mXHA8NzDGec7QijdZnKEy9U7XxgxrSIsKzZu6rqDtZgPYJeF0yaZ7bPHgJQmsDOONI
7Ol7bAKvKv1bMQyomn3v7Ma5/8yj0byFrfqztEOfkt3K3piuaHbeaHgHipg+YLK0p8gzKUxVafQ5
kQU7Dcpr73OsBMe2dWZc+8Te8jz19sPQ/uCy6KwLx/ocbFRemIZqDeva2+RmHJ9tmCozyIx9Pgnz
tqj9G4w209pKexyAhTFtLNcsd/TLBeu6b4vV4DQkQaqe6Ce+U583O6W1d9t5SJ8wcsuq7W7mymyA
TU/T3rUr1MlRPmJrGm8y04wBhkq0EnNSXD5MdYtXz7xPnaKFAhtuyR3GRxLe2TpEY8goviWppXxH
alaBmf2zhXeylb1Z/WJLRo1Uqsqd3c/lJm9Bi1i5XDbrTrhJrDTZ13pcsu/LNn78WsyrcZIv7te6
flg297ETdxjPbIEbKE6SXwTSWfTnAR6gpA/pwXDk2FZ7o8FyuiU7kJ+D5RndLE/r9OvBXX09xNXX
A91yMWUevK8H/fD10J+/LgALgokow9fFwP66JKjlvoA41P3/aev/bNrisYR7SPA8+tfj1rcOx/JH
Gv2+Wfvzz/5j5vLMPwQzBGoowGjFVMOy7h+rNdf9w3HBkYrf2aeW+YfNkotdl02mz1f2XzJi3h/8
H0ungUti82tO+23C+ncTl3L/LtG6tkl7AOkwV7D64yL+ezNmFHApdCwl99wWcpBomdKEFZwS0TNw
nY92CuS9OfGBrqtUrMmGF+NapJOSO6aPbqcdV19IPFGPOwhwbklfr6PqW08XcDEAHHWpLdlEqs6O
blcN36O4744iIanO1EHDNnUElL+sBs/Be0irXUoneywegszEENHV8x0RrZbHJqyGBKYZbcC9F61w
Do4s2DQTVNX8RHlir+Iu3nI/j9nm+aZ3K7o+voQU620nmcTQUPp6l0srQlbO423bJd45sUx/7Udz
s67x4+8xq/mfCUYBoDhcpXe0ENn7curFozvH8V1aqXrPO+NucmuEjGx3ej6xh5cb4bftTs5uQf6J
Iz5eESb+yKg7wSIfZsk+95hUViFd7xrFeoDJ4fTevc4S2GB1BTnHs6vvAmr8rZ2Kiz2r984XN3NJ
XziXvsM8ZbQGgH9xpvvIgG3q2P3VxWFEnr7ZjLbb7awm3iPOQuTEwt7tSkNlnHdGXuGRHXW3idJA
PXVgIdDmsiEQG3iHcNuTM9xHytq83N4EhQNxyFv8jlE+YT3p/IYsRNHL8sOwjAkfWRO8+wCXgMp4
1XVuzb5cz9D9njJusacmmVo8AYa4GaMow/LRWViWvY4+Kwb+9Kjy0T0MLcaBLOyHb9hmFaQLRgyw
YzMWJ8swL8L1jGMpeeS1VgcIO3Uo9uOT1q76QrsvmiHvXIDCgs0Sod0R65kAxeTxZ6x0sxV8Kg9+
VLL8Kp2o2IvSKd4HR6o7F5PTKsOF8b2pyrfOm9w335/dvZsX6UPOsvfaTvjLiRxn8G4icUHhdy+o
yyHrHBVtSLNfgpL8/yDGYtfUlnHwBfVUQWjLexcAKvQp1qfMrymfaCfFSG4G/a1XROlNNto847KU
yBHBNPMyseSBvUX95nPnyojpyUdZK+t4egQ9NR5z3ZpXaWa9DamuGj4sx9OnIFU2gmebsDSeu3ed
B/oSFIS2gJpaT63wjAjZvNRopknznqkA8SBN5rZe0xfh1Le+SLNxFWhq6PBlAv1mTDXAbGp4j4H2
yLN06cgew+CfAWGsrwMjzbNdgixCTOCtqFOa4LdtSO0MZFarhEVEiN9qB/aAiQy2Bq7PO44L5N00
lvFtEkEH92C/XXU3d5cBeek6mgNitMQf+Ejq2jzZadcu4olZ/hC+DO9EN5EilGYicW7WxFhGLikr
y3SNcx6kQHi1qUuTf7RI7uRsFTfBMKfXttFkGoKx2HaZSUDHoxjRdTUYn87Q1b1X6eDO49JwiXIP
eb0i3bZqiezuPHyKzcpXWXyRSYBPupzUxYza8SwQxfbCkt2lEJW+ifIsf3eqjJAPsRKiBHL6VrHg
Aa9WWcGT2eRk2uVMR6PGTZhOdfPoMNhsYntgl0PTyp51P9+tSefpbRBm+h7i4Xg/kS3AO4ACt66g
T204UsGddgejFs3BLYeIXW4g6D8ANdC5Rn01lZ9fY6y7z7WhNBk5Uf7UFjPzah5LeQhmz3jkKiLv
hlY6z2ZQG1z+gcSfQSLAcO/chFGCHEFdWNYvIvz09Zm6enZKYW4MGCHPcQRQI+We1q1Ahs1biyvV
LkFb3i/jx060kWYuDFt8nk0CnZhd1qPt5sEuirwOJqynp2OZFtYlzON5P+XK2XsU/RB2auZNaCak
5+B0vhbGUk3Uyv6BGXSJXzXBsgBxX2Nt5vs8bKIdOnt9K1Xb33IlXwJcSDdIk/k7Ngb/3ffy/Nqr
Id4jAwFwmAEhp6xDtvnQWFwCDVcem3QpvMCLRuFXlkb0CGb9CeNqvdG91xzt2cyvVT2WRGvjH8Qt
vLUq2lMVNZzxPNUIlr5X1lyPLFLch7BGq8nH6Qj7JHyqk2z4SUMW4b3GGvdds+Qc3V7W5lZNc+7C
2IqIfzY2C2SDzV6IpmFVl8o1uvVsw49qejSxzKOJNhAsFBxaGFY5hijbem1w+zt9bNyY5XDIQ+QO
Nw5vRoh/B47qrblgL/Ikrw9srppt15jITCNY8i2GAbznFIBb2Sm1upZh2sNLEtGbRqQh6oknd0l2
jPpk+V3MsNg2YPWQP5t3AVn8MPR0Ra09bY0VAqWjH5t2nja9LeetrLWzK/x8eLAMPDFbFH7/MJoV
20OcOiFZZH+lkwd3JtaRUcB4FS3PMyBGKZER6KC1N+WnseLlYcPpPOWChPk8VvZN1AJDncqg2pht
MZ1NLfcUMM8HgtbzviCc9GqOwWfKQyvLg49odNuDzommeoVxwMm96uxwXTsl8DbTLglBG9YDOUgc
J0kpHjGdkQFqDKIDEd2YwME9B2iFEwl7o4rR3OXA8vAlCOPXGDTqZMqyeeb7UV8QIvuDBW94qawu
P/OOAL0nK9QyWc0fTUSbDYj2a5ASasWrM2/DIQ8eeQNyXlOkZFg/eBY8CdXVbuvo1gzZsvEfWmC/
RmY4at+vhEHEBX0if9WDgKZGhoDiH2MggadpOjtIRREqh5OgpNKwLBiABvV7aWqzz7IatYpDT8dI
P4Wy90BMomNhAyhBi4JVEo02QZ1x7MXaaAtFsskvygfuF3Fxk4WUImyMPGPTzTGwjo6iNWeqXus6
0Xf+ODYn7TfZ/UIl+5lz4pBnsJVe05Du4T9U8TcrzxEhuO6uvdQ08VkMeGpkMXf8b9c65NT07KwE
GxJ8OMH0JZBJPBkfRB7THuTq6qHV+m5B8BbsmPgH22NTjuWmhxG+8sSYrjquFuuWeXLdtHr81PE4
/tKV/GwBqL2DMvxQ1SDSlWOH5Z1vhOpASo7UsRvH66K09MW1GpwxFcnu2ZYNsMsJ0mpLBEtnPJ5a
0Vsnq/ae5KxZkEvQhLI3qBQlTrOJWvBbWdWG2C+dYhe1fXxOikLfdWZg7AOAZY9dSq+9dkyFSMmC
WSVT8OlZtbXjOxrui2i2eBv6/Cl2SsgjlhdeBfM3+c6h2xnETsmmZeoxdMPmYhU8OteJnJONY3cZ
Nq/BD0/UOw67lubxY4OP6buZDOPWg+5+zeOm3wpduuuGI4ola+Lc9lCf10YWgLWtwQwFmcWWU3sF
eXk0JGc7ZywoHVjZ5VrG2qU0VUQ7LNf0DfapNo65X9pn12uGrdmM9iEflfkYdH60bSrs0z2iycGZ
7JQ4qTZBe9KvXcnWAgY36GOcBeXV1RnsvF7NslmCzfGrEzfdodYpKwLQB5tRxmSA4sKlV3i2n3nQ
Yf9Sjcd0ECu5tWGXnmIz9w5uQDaxhxjzyytS70a1TvZtoLhmr7pCbJHN4D+k+ID9erJ3Lj1Zx2Ko
oBqmgc+jZirQEebUwjtRjJdWdPeOaHfcU3FEuYBfvKx5MWgeoRA2uh0m4w2nQ7SywhLjVoGvWHkN
zveSoQUw+lJXJ8ZT5UTdtqGAvlmNNkymvi27tepzcOl8MLDz5bS2PojUUU/Cnh3Mtl3AbzC6qyZo
g9NfJsv/Sir9vZzrf5vTGCL/aoCkVXlOtIDSDNiGZc0S7jRgzRDZ82KKi+lsSvCIfwMHhkfJNP3X
yRuqOxnN4dmbZP0WwNbY2gMXfDK0MtxH/VQ9jZY/7yBA1RsY6fEmpw7yCtlfRnxpY3JiNu+AWPs2
VwlwYvErtdiGwaWmICsnu2Jfwfjf0mgJIDY2foSqDDc0N5eANCDsIQs993VrIr9UDuUUvvkq+55l
tOngGqgp2cE4xJeWCs1bO6PNKcOS52xy9nf4oVz3nZt6uHeWjBnI049ycK591z/CDiGYSAMrSqOc
Ns4cTfdDX0CiTecLOi8gNBrZohUbLEhP6RBFapeNzcyxHTbOp+zqmLAj9B8e7jmXwu1gmOXLLPOM
pFDswUBsIjVcAtedjlHNbRfaj1T3dFsNdy0UoQVVZwZYS1L5E9kw/qyCeWCLZbCZob3yoZxT1v1G
VNNooCyxLadBne2uNw60SFODkcxlTcoQ7yLJKjH+HNrxtY3melf0TryzmzxDZK6zHZErTOeVY60s
8MA3gXYgV9Z507mr3sGx35dDuyVlFd/NacETOkLeDZhfrzEAK/RjUgkPfNH94+iP+ihLG6eK4IZt
ot/+QknkKphrPT5FuaZ2r+e+AG+6Jpm79gBOkujlnj18Xbmzr+u3XG7iPIW5lNPhAbS5q+VOMMtT
V6AJq1rLTR4rCGeTt9zvza+bvoCIxfnA/V8bXnfxl5kgXaaDbJkT+myQNHKF8NHbRJuUQfktaFkG
jOZr1lDczDiMlhHE+ppG+mUwyZcRJf+aVsB/jXvdRDysCbKuiUtS12SRL9mGEf2//tfI432NP6bb
FNWhq90Rq4UyT2PjsLWzK6IrTcoHl6oA6iQA9nxUhWAPwY4ZWvPQXe2xgfDk4fXlEGPemuv5scKt
ssmM6sGQcXyoDF4wy6jKB4y3NiRhbsrkiUdjVXIVPrkjUa0hYkizmwARsE96mAYe1zDMMB3UdqTe
F1k7zrrHBH2l8919rnkPaCRdRkaI7Ej+X3NkmoAliNIOpYAhE9Yx/XJfk6f6mkL9ZSCtTCvd18uQ
2i/jam+q8FIzwVbLKItNmrd9GW/5IZdBl5G3WYZfmKPDVS0DMW5kd+8YofdW2PXb2Cbpd7UM0P0y
StMiVrwXy3hNLIVJG9jidIiW8dtfBvHpaybPlvE8XwZ1BFx5hnvpvozLGN99TfRYbALyo4z58zLw
JxzSeYCLrMPSmq/6L2UgXUQCwHAuK0OEA9n1/ubfn6hfYKw/d08IX7akVoiaI+Q3dlBfVoS/gLNa
37cYEmpjP3WefSrS+NjJwCMOSSZSLpxX6VvOVdgdm1nTx43jAAHZD9I131o8TPDL2Sd8TkOvT4D1
oUp6JqtD1LxXLgbls+VVlz4uaLYSYGy5POmHBoQ0OD6jSnlPE2sx6k7pgbRRyyjQJbjU6EZ0T60X
FnBtJn4qy5cDN6tgLj4AvBO8hN8GrGBeDrL060xLvs63+euss7/OvWg5Av3lMPz3L9iXWfNvL9iX
UshlWi4yl+v85s3wIRlPNvbpPTn5x/nVeq0/jNf6Qd+29/i9izsju/33/+JXt/hv/6IpaJAzbdvn
qHR/+xc1AkuuujhgZ+0F3zN8ZR02sWS6Tcd4ljQd0mTSTHWH9S1Mo++mM9OkYAfpr9l0RuLQUxzs
aF7HTy9dbtTbObB4hkvQumJP94DxgotbPWGK4VGnChoy1qntemy906mBR1DWFyzLwCrYWR25yXA+
IaeslIt1ky7y/cD1E7EhT3Zw8+rdhHfi7JXO/K7oGzi2rG6PQ+145K0y41seY/ruuyK9x2MXniVx
Y7hEXIgfI1/NH7aOk3ST6RG29xg3z+C7l/Mrl9nL14v6PxaU+b8R5fZPxR0z0b9W608ReJF/pdXz
J/+p1bt/+LiO8Gb4Pk4GtVRi/0Or95YYjLDZp1j/JL396Y6iU8rjD9i4qvDFcjP7XyEYeG58Vyg3
g/ImHKXs/447ipJJ7nh//T5gsPIsNgms1/BvUXz29zugyAW+CWOa95Apka1JAJYFZxNBcxLOTg8z
wQnUC19TkW3aRsV8G9rUG2CKNqG5WYpMilVQ1cOjFtqnh8XpnF2XGfmNN/bdztRR91BqOqIKswTq
6lC7uaomqIsRQPIzP1AOmaXUB+33SpMc9vR4UaVozkRyi/jO6fvQZ2gFZ8u8m7jRuXHdVtImWGYP
ePGdaTWDJ5/WgF4tNsa1KPw9FWpYu8D/62LVh2gfNHzRayj8woEmMwTJw9A7AOIYi1JQ7cUr1Y6j
v+6BTX7yy/GN9VjhkZSz+ie3VRhZKHvMgsXwFOy1U7lQebTS5UoTytk5thowM1m1W+7iWVO32Y5B
fBt3eJfwQ6HTb0K3msWJm9qSfqZCloJzLw3cA5l9SxzsmXlwGzR2zBmrtBrX9IsY72UPVhRtfYov
ZVAmHzXqwoXEkk3PTlm68XmULlWM9GLi9l6aaNVXh6O7KofAg2tW9m+ZTDX4s74rf0po678i2yVH
wtW5ukDTmm5GjXV7RfcBXLseZikicjWmB9OQmm4nY7hPrCb/YeXU1qOGRWG2Je9gvLYg2gnhYQwo
9zbGnyvpGRQXaZN/X80tet4aUTN7Kqn64r6B34c+51lV5bplhfFLVcJfVglm9obTG5Bsb5ArANAx
42HDOIqEULEYwIma4g3tA+xVJja2nVkVw0Y2bX2tJqO6RgMKltWVJHwTT9zWAFSNVTInud5kjuNt
UyevPkTbjayuE6snqjHJNcd0ejKaTm5JE1drf6zaTRsz1azmqZj2nV2Xu9Ixpx1EpZEtbDDdiLDw
ceim4CqqMoamnrA9smbMwZ7wvFeuGfOjWY7jFRs2rMCOIE1q+vouMTn1s9TBelTV6U1vstbu+btY
h9FxQ+MS9ogW1CD2BYGMw4+k50bi+YrnGwNBbFUGTXCCb1AeZB5R7mcByMUAnz83pl2tS8/6BpsO
K50iFr9Qq+rhzE2CTz4bq2mFGSV98Adsd6APqrXuhYf7J27PddCIDbwYFOewIG7Q9+PJ6goL99I8
rGuhIJYqEv6kym1e/1QG4dUkaXJvycHbTAXqF591aw+j1K02EZe3X562u/s+qCSoI8d8hLQ7Py8b
/ANh3gmRKandgeGhKp4zJooXHAnVc1p2/a8+whHoms6RuHd/sFP+7kQwVa5beATXSeb1Wy3z9r7I
bfMDrzhlL7V0/UcJpmZdRFjF1knOiEOYfyJAPCYWQFZrQhpm+/ih54SiReAQ9jcpazSDgTx1o+Eg
UEvq3mGOVu90jbXbKHcCTFmqRY/03OAwVTFNIXmZfbptgF5V1kJCejCc6S5xC9JdcAaqXzKuzefl
g/Bkze78K3K1rjaeFtk3eMTuPb1iV5dK2IEMVJdT/O2Ymt/TqIdNJj3zzQJgbex7qmGcjZ9lwa1l
uf1p4ox4CFjb/MyjlEwJwuX0kkL+hdPM0XywFA0uMHMD6xe5bozuJOOWlppUqqfeL+Al9kyB6zlz
Qu6GYfGhMID8lAyzFSnsKruKWA2S9QBdkBhKxgtze0en7RzPu7HqAMGRD6BQKBi30mMsYyNGKwkX
oh1zAPkQcE7NCTW3rjZNxsgDw6GfD9nk0fhbTFG/3FYzAkYpX5JKORDcvE62D6HM6n1cjlG5GuK+
fSRrvxQYUQPFMKfOlsqChzCz7Tc0s/RExWzwbuj2kUDFiK+vB+cFhCG5J6qQ5pCU0ng1tIzXq8AK
+yO3VvosTMg0ICQm66JSr7vJaryoK+TG6C51Rv+W0CkTWDIbPS9ERouuVm2oDxLz5yOEoewpGkJw
dYmht8MQumdWreIeOU2fYi6SWGPYS8Vpn4drA+zHNk1H/y4vpukwlERmGKLodtc9dI5VJnRsbJlZ
FT6tuI6dtVZ4iPkqyG9QpMr7sE64rHWDOk0EXj5GeOsfQGsAtPmCn1lbVvNpdrThwf2WTwNN5tvZ
LiiyqyOPnF1T/QiDUH/Q1IEAQYidxFxqsM1azYNuDmqChsRuZrGhmcUvUvdNilLteoQ/YXwPTHHT
Rjqtc2TFVV4SnVqk+pZXdLLA07jaKXcdtphjxK3/3nCp0Fw3wsurHUgDnrde5bP9izheVrXpLNA7
PWj2uRkCQZTLAODChF1ycPL+zkx7xujSs6m20bnLfi2mZrvo4+m+IXjIk71pm/uidHPQkczpmB0T
PJQpIumFKo6ah9eg0tu2HUPyQnl5ipw2A8CNGvzp5jqgmZSRUKwDy4rPBKq0v5NyEN+Um8XPPLMx
1DVxhUXH9cuBGdNwzlnm4YVSjg8kH48REzyhFg/vLHhO2RvnLA5mcYyHtngCk2Jh2ITacJ5rQ9jn
qJisl7ICjrAZneYY07pdrZy2KE/Dck/vSlc+jMKTJ9un9zloBWgOLyTyUs76OhctL4jPobuUcHYv
DtD2X5E3zC9CU5qQdXVxbGcv27ALLx78oLYvbgNvhG11qxZvcQRVWpNOhKxrAypImgo1GCbHbRbU
6Uvpm4qAFK/ZPkBxoR6g9bOLP/Xemz/j/Rtj9Qqtu9pPKh2pFLH5OId0YPtNZT8ZWJGOkcrZ6PqY
I1jIuq37jf0XlMGKyMWeDUX2VoRCP0uOzmqVyKYCe2OCROlmuKXgc0Y88Fl0UnHZH+FUUC/b1Wof
BDRDY3Kt6QhIYmQMPbxPEqPfKk5ttc4sN33zpsXXSCWId2gCUD/W1EeSNbkYfgZOC5AEmCqIArUV
VQz5wGqXzIJ3wAadkghKnbPZeU8Etpu99odH0x2ql4aCwf1gNx3kwMHjxEoGR+xHo8UvW2Zh9hjz
MXmpR0GEjZ3vIdbGkG8JDMcPcvaH8dQbYKPWZU9AYFtY0n712276XrnsHSCYxeyldOZzqid50PZg
hKsgIjjARUeEGWovb/MM5KR3Wo7tKnuLa6V5Ef2BAV3y+NwHCYG1OerTawL/oQZmMGHhmwzjqsr4
iciTew2ptH6KRQLgBfOzdextWrXNpGTbXInS+Fk5uXjqGPoPSUaEJyEutQvprVpnIM6ftH0MeMnJ
ePOfYzy7aXOBKCK0vYWCzprEF8zcRZQfcyrQ1ti9w2vrddXGUOatm4OgV1yVV3Uj9H1Ql/ElnTNz
hxnBiNadyTN2pQMJWcqttbsZghLMZ+4ntzTOkgWuc3YgRkt9xyFPw+6mwQHfQlF01LMzwKxazV0Z
WRs5FQZhVS6Iz8TOlbexRjt8rjnreIJNzkPlsrnaLP5S0GV1kQ2rwPB8SkjJin1jA+zfahrZr6Hb
LYWQITxWDrFxPrF8qF9bZapvXqamC0Q8WofsYlDPrSqdew47tjY5vRFvfIHFzpo0tSEsxYCj+FmB
N2cMb6rUaThRO7gcaC3eSfKL//LVQEYi0qGLus1981joPKScdMY4scY104IOySGeWq3VRpQ7V1bB
qTmZxqZv2byvwoyt2HpmfWOvuzCkXq1vwbniHXDkuplt4wPcZ/tYhMFsrTvu7JsqL/K72c36t9JV
1PzU1EPd9J7Lwtyja7MFfAdg3h6oDW5V9taiYnS0qSRJTpNnJOhgquvM2TiRLewVlJuAcqphxKcs
ICdah7Fiz8k3ws8PwSD9lwB8BxBXN8CtkxIMQ3NDbgeOlNnGEqSbREVRlPnStqjd+04J7+xPKL6s
nML4W2l4+YTDs5n6HRtT+1fbsFHbVyjM0y4QHfZa/Dhht2Fn2EZ3nWUzcmQZzDNES3PmoQd4iWfV
9MB3BoQb+BwCHtHMXYPT/9xFdGr2eXEePct+4VhyHlTJ4yBOAv9cDFP3OBLKRsPP5hc9hy6dklE8
EiUtEzSeSGS4LWoFae1/Vv34G0zk/yVMiDJRDpwFvf6vJZKnn1BCwo/i428Jsj//5H/aGalJVwBi
FH8fzn0chf9pZyQe5uJz9Kk1ACHyZ4TM9P/gmYZGAqtnETC8P0US0yFC5vjIJzAJrEUl+e+IJPyN
v4skjmOZiksS9ct8tuQSMfuLrhunDE5WApmSNeCDInhzyLuRaRJxYecbuf6ZeEgchvL9Q1/mdC6N
GeQjuAAHNSMR+ADlxHZQi1MjM7Vz3yqNNjIHxZFsCpaKLB3Jl4fqhuUujJvA5wrmBc5nI4NyN2dj
wrqZ2/l3AuGivUmwqyMCLE905ZjRcwdz7qamj6jZ9MRYAtwgfC9d5MRjrHXHsz90/OyQJILEWqgb
RgSbscQp9I8gnpvtVHhnL9XDq6LXcu2UlaQR11TxzGnq2gcO5nhH01KVrvPGxhDYlnSB5Big1gWP
tXklsxHWGJxio1gXfpjfsVjAPUGutiLabsAt6AMvLvYjGtQ3aoeGN8oKZgzzbtwdKz8Jnpa8ND4t
mAkTEXtFsU/aoK8APsEM0kVWfNdl2fDcFE6cbgnBijMtZqxn9XRrTuZwiM1W/yihe75zD0XMaLO2
vWONgzEBJw2ow8x0ngOhrUtnWcZTlLrilU57ePrKcgdq2Qd9PxAg2DZWGH56E0rTOoR4zw+eARhL
+dl7Gs2c0msOJfbFi8hiYC+8zcV31VfOscUD0jDaCMkP6fkYdqyo3Kfg6O5kTl8VYOVp2iDjcBv0
DPDvoaPwGilSE6vJxDwE0GXDJfJUuq3APSAJ/hBcQxOODZww4QBrhrLJS04JcbCOCct/hFGdnPTk
6hs+UH1CzMirjD3JJ1x+GeavqPE3w9iWm1SYA88wxnHXyOPnip3zZh4NSH80zz8YhpuD5hjrOzan
4b4kioBCpK27yKdcL/OS8MCCWpx5R4FjGS2W1zkV7/U8z6fIhgNaMiTdTAkf1KbU7vcuLcadsMb2
mJaSZ2BBR22t11hAStLUfXRlckJQ49r5jXJIiJ69Z3/EZj+d2TFSVWQ1VBewCUfQal+EqN7yCDXD
dEduTvV/UHdmzc1ia5b+Kxl9XZyADWzgoi9aEpo8yfLsG8L2ZzPDZjPz6/tRVlZ1ZsWpU1E9RfdN
xpeTLEvAfoe1njUAghn6GAlpVzkhxtP0oQT5q6fspKin+sQ9Ah+LPaD7ecUJ0k8X7UyP+AYHPUAW
Uwhktogx0kfuA++mtUp5Rg4nK1YmE8nhCXD/1jMpJ7uszje1bdn+jv8I/KOabBLoUl3MD6Ixmz2m
d/fW5OPD5tRhzMSYmiJ+sJWxKmvpPFeZ79y6pW9D4Gou+QolyceRBzSa2Fe11WNJ0TtPUftpFijU
uCn94NGrLAVRi6pvFRMaNGKYk/MJnwiEwQZuzkWlgNd+QQOiMLvDDOvi9Dz5Pk7ycYZdh/B7eFNp
pm7T1BmPs1m5tznMX01bOSy8Eva1Yuitc3ABbvlLQ35spNzh0Q8m8dSXHpDJcZo/gyItyQJEwYRw
KHM+ub7TH3bYtg2byEK5U80i+bDwPRV4lvyBITDr9bvMaSpSEkrhYjYqbfKE66zZjXHTkQfoRslO
9Xl1h3nJfhxKuBWRdsVDXrb2tTYa9B58KPKEoNsqN0Ii70I3GTu7Hrvo3TJm1v2gY/LlRnjBXaLK
r4xLmG81ssVzW7fdNR5bO4yspdn7CItAshb+bVWVwHUKPdOae3ZkXslIWfugAY/gWkNGCFaet/xS
TP3QdqE/MlgFQ3uXhRFy/3q3Xt6V976OzbMjJuZALD3tBOjk6D3FRWna617N+mukyYMvbLZrz2T/
u9Zuw2zNP2bgvbnns7rpVsE06DAy6hwUx4gcFQtdcrTR9jH+rm4xRSF5tAyXqs++sOuCztpPvlXe
y4w9usuNG+J8Sneav6yscake2sGeAZikGGXT4A4eZHxDtK3/ldtBejPGUb61RL0cG90NV7Esxd7r
XPMzX5hHDgPG3ayKuh3TL++KmGe+QxHL6yggJbFgn7zmWVRdMeLIlnXt9mPoleWn1RY1mGKD0atT
yRckCVvp9y+ZpLPk1k8OVi7DpBEowrJ8+OXU6TduVy+UrTGvE5Sr66EmYAIN0TE1nGbn9q4DfSe9
oyP1YD1L497Crbyfl7iCGxcdLwILuarlZKLGNebXS6YzQRhWrO9FxGKF1DsDraIjNktVPKKVnLal
OwAqStRrYTISKlRnIQ9KPzNjGIujYBXJNCnoibaPnTHAirxM2y5yhrMFFfgG9yD4QiAUt1oIdEzu
ez+pvVOVGEpbGs52avt1OWN/8mtxbeEiJws+gXi5kpqun7zW2tnUXp9dCbvC1N2qZYaQDWJnlyYm
f+yJvN7hvzpqIq+yNRipZt4siYmI0PK7mTzXelT7QRcf5VyUR1nI/s1GQBaso2QG2DN3A5owixi4
yiaFu+nodMGF+CzdHfoCb5j6q5LxdbnFYxZjOmUivPSG/U2I9wDAsxzw4DqqSyhmjLhYq7FPh7Wh
Ws6BVLT1RIfagmtaikx+Vfia79hzjndpnjDRqzCMejgQyIntZ7p3cVPX/h2/FkNDggGzR7s1yZ2J
gg7DJ9SI6TmKkl8Bl/vb4soNZc+Nm+AHwB6YffBAbM5IttIV5MXSJuCAcr+CQrFiJyXuM0iAbwZ5
d2HMyPzILoLmgCIeI8DYYf4K9MhQLXc/WzYr7zE/eBVbbGT9ACdIWRoeSxmln2pvqPaxLEIcxu1R
6rI/qSyKny/7gV25jO4PW+IC0aSjtozPwY77BYzdfdHFej9Wgatw2GqFp6GCW00uUXXiDBh3fZEP
t75LNI6gIHtOFzYLU2tMx0ZAQbabBmtw6XYcSJ5LZGQFOZnhAXZaZpgrN+iWL9G45p52qN3Y7hJt
2xKwD343QsgTd4dY9IlRDS2LS4y8OzZrBTdOtO7GM2nffPQf0IpLBG6jBvAEosutuRTzSYbCxNLP
g3hTdiMefmlspJjvDRSFx7pmLpCr2d2n6JE/cFmqdetQUrhtCbLDr8yt6ggbFIvA+ql9/55Y4Evm
XzNuS9VGN9VoMbrBwLNVaIRp/PUlI1LcxkN/JcT8Y1ktI8yBY2rCVCLdXz0xG0jZZmaQlFq3QU4e
SxVfpmVLnOyMpV6ZLRPPi/d8eOwi3T3NDkCVKZ2G7WixvIkTLJHYYTZmIrMNQKRq1Y6xHebwqel8
VbBl1jgla9ue3vifhuuUnLhPQDhkamdmtnVww1+bKrcvcpgLEED2Vb5WKiVTLSERxEVjuK9SJwE/
5nn3auAsj3oFsLIhtxisDai5aInucTz5zE+q/BrZTY6tnwnBiTsULZJC5H1NH1LeV7FwvxdzigFk
R9WdPQnr1u2FPPa6cL8DUkhvJBSzVTom6QOY3wb9vHRGXLZVCt2p7G54bBaHZsnHDUqVLyQrwd6r
smITO1l/2zmW/+Y4HZhYdobsaTnoqYvsDFcOADwq/9ROD3UZty0WWjXz9OjSFV7RijyXut8H2pMH
4i7mM75fKDy57o916kVQDoPqiAdpfh4xQ9xNkCNq6UUnM1L522j6zd72IKDPub3DGAS/O84aYD/S
CktNaNKcWPWt9sCRr1QUh4q6KawQa276QGI5KnP3xaSV4WP2yavoeeBRP9avCVnil1TD/Ih6nAtY
t861b3XKQ43SM6dv0zi5Z3VgMIWQ4G7VMn1FLHqAzHDuRb7gJ8/tRdrKOT4BE7iqveZJdkP84hsR
VSYQ6E1PQYSOltSVfIcrVh2sEoTjUA8nTlQU0TYl78Z0+xYCrrExTYYstFkIztT4laZj/5gjjD9m
mnjrIRuGg+1aFvKrvghFm5ubqcyj/Qj7NzAvK4+myA5e8QsJdvArJnP1kNW8FCWsiaKt0F+zkcxX
xSBjVoUAArYCnimw6pEs1pqur1pGPj5ndO4M1593S5Lr09gznYIipz5NLphbeNIAzwSwHDge3orW
h3KiCdCve3N3U7JCWE9xOj9EUdpSL2TFB+vIhV9FEdUIV+yLZkzg59fWJotIxyJPsnkyjGU8Q6Fn
tIuXw3qrvNp4L72g30L1UHt3mqF0pEGhgjX5rTQ9nW+dNMAQopLYoPo5ZOchCPKtr2a00cFYy4VO
bkjXquX7ckExvM7VNHJljXJXX3jOVdTf2AwTJUZnj7he9tQSSEDq/5DruAJIdD1VRF1G4KCmoWJQ
jVyK8tQ85hIEUemV31hn92McPPr499bSGtJTypGI2bma963vxdvZ0fDn0ecccn5LgmLr4QP2AMIy
YG7PSFaD6xqzwJdBzXQxN1fkOqDgQxoUOyHuBO/GXgp1LTunfCMUs6c2ct1DbVLS9rYBMxnilBFC
vUsx1SzupFE5GNN1U1U84vGEBzvcgZjZR7xYlPq1v4105mNNmjGxRy3LlLmIvPdAGhJxu+nnz4oS
KVTBHNxiBSxeyShNd/PvEdTCnj4k41rOjpz4p6K/jOJwvt/HhgFewF2me6Ntx3ZFUMWwxn8hwgid
8mFhUnEOSliC8RylO6lH9UrECBlfCwne3uyUocxHfcOazuxZdigZ9kgXNoKh733nssS6qEL1N0zJ
4dGo5Oit2sFpbyRi9HDsZ/I48ln4b0VrX3wu4ifNK+A6SRJh4wBadUKTSBpXYafPPDiYw5ltn2yU
4fY35L2Jo46EwNMyl6+AQalcmXWeKm73VdIV9W2kB/e2INqMJcrFPVInTFwhp4j2lGP+vKO4ztRF
dD3vdSZ41DQcoucYGzQg18QtoHOU/i63Fv2QKWrYFSUcM2lYsZuALuZaIJhcNwXMfmkiwq4hkqzn
No+fncxPdyzgbR96xJAdxkoKVj34M0vKs2PTLOPrsNiQeahC7y9Ro1u1ZPZzKSaCRQYr+4y9nrMo
Gpdbd3HxJeTKjK9Rmlk3VTtACbIqZtZZ4R5MNQDbRgEqapIHpPsxOEZCCFVumx9YR/OG4cEyvbBD
85i1ZEHL4KFzTChhQd2T+dBaoV37dLtNZCxkvebqhnNcvSVTpJ4Hr0GyrxwaAx895OyL+g7Jkc+K
LPcYlLvTyuoHdzMaoiSVaKbEyi4IlxXw2eEV8xjgWzNL7iJnEjuNsQPc9ZjLtwX3AkUDq59O+cWV
kbtUnWnmERnXO03oNVF2yloZ89X6HxjmeILhh10YWm3J9OVFyCRaiwbQBDNmSc7tvMI8kLfr6jJ7
sKBU7kl2sDbaKMonuzCbY81WcAhxhchPw6G/mNjpXBS2krgsvGxwe2xLRSbxV9Wa35rylnyKhzTK
ipvUQY2MTZ50uckBJPt/d/77/6D67WLhNgVWIGGjkRQC6cE/GvJef/zCs/7nCe/ffYE/Zr3m39Cb
ITRj9/678A0F5h+zXvE3xqzmRTfr8Ic/jXpt728mJBfXJIbG+wMk9ocezhZo6DzkdZQTiGddTA7/
Ce869flfRr2GsBzPIaX7d6/En0a8TtGRxZd3yb4YvfKicAaCgiYdHoqveKas7KBarjyj8nn06/Zo
Yn0+1sJnKTvILrsd1cWrVvmzW24YC+L7MrDrtoE/P6usDPDAkrvH1Ccv4QSluDrPJYFW915uOtPa
y0rE0LaHP7vBwBwjJVCDFYWtbUY12XGNiD9hihjqMEB7v8GLaR+J4h4/hmiuPqliXbg9TqaY3lUw
FBc3veRRDy3E+nGW8l3PIPopdIJp3s3osfBPM05tDsD5uIvJJXNINYMm0hwzX6b3Ex1LvM4W3Ty6
Xl8+sG6aNjLvIVdNs5ZvYs7L0zRZs8HJLDhtdAavZstWNwGnjx3urcmoFFklG2CAg7zzzlOVEirh
IlD+ylx6pCArnaMFQOrMTr4i4iIVDxhO+hfQXO6pNJLy7JW53BmdE+zZWi+7i0+a2QlF6fWAjBGT
H4oTmyEtgyJsANuhp7NbxaJPvgIkdsneKFrCMwohB/TR+bhcKUPaPyMNxAPZS8t3OpYlC8VYNW+Q
d5w7GtrMCpM2o6UpnSx+8pxiwGfQl90pIRTgFqLjNDLDUYuLrHAednmBu3rFcHZ8QndpPAP3xAvB
CWk+YcdNINxIIg/DFB09/KdEfGbW2Oz04sOpFh35q5MZtycmXpeThzPZC0vFJotdfHcNnoUQkMbW
1d5DK9MeHHJFoJZZVfde4gkn547d4XdcRtOjO9Twbls6DovMCMNfe1Hv39RKkyuBirIoNl3giF3e
ZG1wRw5R0aAEz2AusI8GsTUbRc20aPEmWDlzUzshMXSGvUX+5X1XSI2cDe57N1qrrFJLKBtB3IYR
lFlNb6rVO/aL5NW8xDzIMp2qu9KdgJRx10C7kmNRjgxfvR57TqSnfp2i6efzGzDIreERVZia3Tk5
u5BtNZ++jF+ZBkY/NDbefNSFIKA0kt2eNJDe+lLFwNaaDtoadnYZ0Tzys7p6i1AiAXoAv+a6D5KK
Bg6ZxwGNSvvVy2QC5qn6amOmJX/fita4toyURJah74N3p16W7MRuUZLVOUWwCMa5fGqYO/4iwz59
mwBY4fqEXKEwmJUFTLra3WamkTvrSyzqQSXwMrHFwkhdpQaC3Q1W4wLcaZ2jrMJ/12/ngLZilSyz
/x0MWopN3gZW6HuFC6di6rx7gtDbA/Spdrj4XacHowjaz0C77UuWJeYtiVcgjfq2gyGTTEScKB0M
95dd8cuoXXel3RH//IJgfCigcoSTn5EqlQ7REFLr0AIadeLQP1UFnwUU83TF4aleQNfmV5WVu0ko
M0nEcIYH/VB1MSGAVmQDKOSqHC+CpprcKjb3dECeZJZXD18wtaharKz3gnU3Lwiu8mI+y2BJmL1F
tYpIGJynXUPO5c5ShXnwVI4eV/A1vukgX351Rhszq+hMJJYkvNz0hAbfBAgtcdDWjnceS5U+DIMB
7JR+yTqYo1z2Thvpc+qP2KYwUOHAHStjE9d99VrXiRcOy8i5Dz7wset55KyZ2C9bQnELlK2BIviu
M1H7gL3P3rGp1HdZod2wbdDUYCmaDn2kl1+XktZfz0lSW7s8pyJEgzTz3fe5SsDzjbF6UwQCvHlW
LMZjwIagpqzw9IpnePfEt8OmwgRMdQd4mIAYdD3z0XAnKvPRb23UycyCN1FqwEo1cXAortWs/sSn
Jh87hzZ31Zg9sTuMSLJ3q3bUq9uMjCmbRtesyHoHfbWDNzJZ13mWV6vOw8m1E8pUz20GSuss/Jq2
rJttHjqxiTvdNvAeXSXZjL184ONfyGbrLpECah4Q7RSj7Ry0Obf2nWqUvkEKGCFCq4I535AtHdzq
xis+pyROfhJD1xvVmmxP0OHS/hTog1deAcIpo+BL1qBKvJBMOFYtMVAkxqZM7jdGTQygMzQT9khI
acd+HAivdYeiBNZVdzWTb0EXacWYZAc/mk6jauxlYxB2sxvKxDxY8LihdfeFsyYd1p22jW1n17Zm
Vo7zorP3prKT3UCiGx6KmIS1FnCGRoh8PWdKAeotK/KIGgfyZyPL7NNr8io0C/tqnGjwV1A5LoBB
3uG9Yub9YhfwMbDoMNqP5869qCuREK9qrJJQNL36yG3j1i8lXIYMwW+79ySGDHx8zKMQNWPDD646
WVI/5E1APk0VFMfEHrFmgS1guJ62kWuueOxUPIdcY6ctZKfTvbBgDfvmsPwqOA04qNPusWDgekUS
1MVXSECkU7XdmcZ5+HE4fHZ23GE8Dgh/AP22WYBy7hcUYnvRte2TPbn2nvGox61boJKgYyd2Ng1I
fgPYEpx6Cx4OoXI9/E786Ucrwm2OeLDHYs8GZWWjxSaoIs2m68VuAFfEtQn+LYI/4vIgv2QxN2pl
TfRea3IkDNRp0orydYL3cddmc5CRlNjkhyVt67PInOI4cald+36HnC5Inas+6f0GNmXfvhI5FGxa
t/K/JKPFCuOM09w5ZeGf8Yqik++6ykJGHbFlmwzxK+CC2UTk9t43GXOJplhSJ0Ro5OxNt1NPZmWm
ZI3x9dekuL0ipPUusRv5ArJCxibLxMy7rfJAflkp+5CQuXK9lrpT750O3PXSNd1jI9r2a4otdZKd
nG4qWDQ+IR5ZfNu6rUfD5SVYAcwUBSIqn46aS3jvRJlDSa/7YnqSTspC2EUe9B0lTXJXRgaBF71i
yF6U3IWrkbUEB2jd92+DM3uhNwAANxybGXNjRvGbR8AjA+10mN4NmRjvee/Assu6bHpmZS53ia88
cqWlfcSKmf/wfvUJ5CKbu6VngLuouaU8Y13J+Fr7HQTZEWBt1o4uiqoYDuRKuvN878fa33qzOz4v
GNq2XlOVH4GQlBo4IUaW720EUoSxbKVp1+x4x1c1Xltx3PF0SCN9n2obrmmtJOjabil4Uol66opQ
oe1OIbkYfb3rO/T8B1BiZgxBe5LFtrAS67ZVynkR3kiUkGgx/W3TobwsurUf2wy3tH+VssotyUSc
2m4zsEJO1v5iIo2CjEGaZzSP+m3sUp1tNLuVep0uRXTDQgH2JYOL5MAVErC7QuPLttzjUMPvajHm
8vj8wbszd4X+16NbLItnx0maM+O7Nl9p+qFzNjvsz60Bva8wvau0df07a+rN75S5QbHiKqhEyLl7
2SoKEh+JXNHuA0iQNAnTmZJgNeo2qcI4XRicWgYtzMl3yyHajoPr7L1C1Kzmc4fFQkGOk73BMdEN
NyJFSsgMrozj9RTU3k4ibjwXhVDNZglGf1nVQeH8ZCWyik0VGNZT4BrzR+ob5i/fL/oedTSDHfC2
uiNwcmJMzAK8mRRcxUyxA+kSgFFF/COgSp27BX/qHCgLgUfaLkxW/DRcvFrf9z7sAo299dqqCMfa
zlRt2caZLBGSdujznOpzH0ppG30EYyPOZkWJEVL1BsZal4FbhJOSkBeA0xg/kIgXarReH/CBXtR/
AzYLI6qmUHs2t4nDubzhyiZhpsnM+sMOGiVOtPdFSBI7odxKTKfaLMg6qVQ9Ek+mdJSsuKrEOiqb
5ITS1znY0O7uckQg+iKZ9Sw6INGQSWOP2JU8XjJ+ylKCogF12upZjZ7fbpogKn5qfMNnbRfsKIjt
wIMbNT3rS2PZeD0YSq0nhqu27kKS1cm9YQMPNGyOsVHEJMCG/ULwfaTS3F25Zqw+ksLQV/m0oNOf
LNgjRkfMyezAfd9FBvvJG/RDBsEAA6/iJ+iwY7ZYtGT0nBdaSR8dAbUzKS4CiuaFlJozJzdxsjZx
fFfkmVWgbcxcAbqo7Z1psI4cGi/bepwhYaxFE0qBdWBVZUz/nCzJmCx6fRjUSH76ue1veNPO0UGF
9Uod0IQB7oItQQ+2wU1T1AjA2XaAxG0KwuQIcJ6yvD/XTo91sLTxSxKihmm0asz0Hv9REVqKuNKV
6wfu1WXvH1LBRaGQ0Sd1arAzuSfDuu9YAgVB/C502X3OJkyZlZFa0SaeRc7qrvbu48XCskp3gKil
NordYpQlATrd9DhN0WlOOuvNYlN+DwyC+1JMGIUj6U5HH+3O3lFFfIWWM+dzl+nRT8hgWyMvcnd1
boqXRi9IbOu0lpcKHUEW21YM+57jKKBkcUY1m6fmp8sjZp9SlhJsMGXtDdIhUvIGm+ZYDyW1q5Fm
HdaSpTiQQEoRzR6+fiQTyN9SwsmTJG3vwVmQ6nqsu09169rhKGv8NHEmh8fGUDFDe1+Ig4x9P0TS
kjxy60VviRQLjza2TjweY8zvTLoCluQVnNNqVmgEokSeBkdIIh3ReqQrW5r5jWvY/T5JE/s2FQvQ
tQjv9p0umhiCgUksT2L23iEq4xm7UZ91D7Mo0qe+6IcTJlP3i3vXOlnIhL6bNmm3BAlG5UqKOTFW
xuhYL6KrqeqtPDu4jcxuPBOJzIr4RGdddjyv0h6x2ar3S1LdKka6fVWWu8hvEI4Sg3kQSirgIc50
ZRT8srnHiyDfrRpK1pjRsYvh4UVz1CX8NNAEpmldUBtd8RAJYqC7pDeQvvewQcgYGuW2yTMM7raY
2Dij0lhfKhcXzW1SPVqllW2lM2Sn2hE/Hs0gpzJs33YzYXm4xmDsPV+Oz3DIc6T14NPGZ8mhzHe5
NAzl+6HufuXYkNf/RHNeqKiyi709u1Q0hZ6mjSkzcrJZ4xOnw5HSQwPM0Hn8H5ki/n+kD/Uc8lek
bwnhWC4iTkug6vz3laKbj1/64zfAl79dsuX0b/uP4btIf/tv/IPNR/lR/f6vuKr+Omb8Oz/in8eM
nk34nCdAiTmua3q8jX8dM5p/Q8jpmmAyvd9xl4wA/8V3a16iDCzk45epp8MA9H/4bk2Imw6BZxa/
zuUl/f/MnNGy/62k1EWYimMKS4F0WCIHlznkn+aNtEvI+uTiAMt76uf6Jni0tvEWyAFVHiEffrZO
3a3Znu2nClNGT2LIU9uk27R8iaZukzK38wcHamb5TkVPsjvxHDANjS3knd1AURG1pDX7n/PE9EbF
GUl0L/34TikUGszwiAh7uCjVRjHf2Yne2sZR+T96Whd7sI4D+/xfYL9J6rqecatW402t+3UkfxhW
kSfK8huHkSUPbgYQLADJy+NxM4/GukjmXXkpBSWjngmvD+0Nt4/eZlYXXyrj24lQ3QCxTDV+mkH1
1HbmfXkJNKXU81F8kyLa4q91qq+uuJP+wBNmyDsaJzyXPD0LamLQ0aMnTlaWPcTFcrBtzUpB7C+O
FjjzxVqW1/ZkZWvKy7u2x/zUxAhjDYMZh3kC6AeQO+NQtOtvF+8lGlbnzWQ3wdcUDsQV12RkZ9G4
ddqcBeK81t20yaQm5rS9sdPu1EmbWCz7K/fkaap5r3gQyAi2xPOEp7JmBYPiM4wdRO0oALFHSboP
yRiI7OL0FJeKDh85w6XUum1aPNHTzZ9um7/D9aFP+8sM+5/vO5PnsWdZDLKZp//12oKa2k5pDXNi
Wson3UFqcpz2NA3unidp6AoTDaAnj+i1doW6g4axcy3nqiv9fgMqGAR6e9HzRcHhEvudGyYOnnGr
s5xY0Mg+2UNN5J37YDsu2JaMIgrzVVNdmb2z06q6wj1rYf/h4IJ8udy7yNt8bwQsz1KTr1DN6Y+j
3bObv7Gj3+KRWZO4uI2zfEs06Zq6ddOMlMOEPiGk3RCssYm1scdBfdKu3g62c5rN4Fqy0prmS4kL
4C/pHjPYz1ySu4Xlo/UumUASzHNE7n9r1sydjDpmp+Uxggi4KvO52qohvfarG6+BZkYeBErNz7Kb
90VhknZ6iXQyWnOd98v1MpEB7Ecfs3K3dcUwmReEwn5p/awZyBs9jIjJ0XgUWt/oyNm31vhYTe9L
5k5XSswooSvLe2siG0xSUrxitgoTZe2QVUL8l87WksGeSe8vZCPNaijnu5iUMIDmNcZQ6sGrZmQr
IJf3f3yZiAvp4s/O/8uj0yboD5eyMMGWsOL58xNoqVk4AxqMQlnn37HRv0R8fJG23hv6rGXQ0Hb0
GQ3M7dIPd3GrGYxOF1XpykK9tQV6A00yyDbI+wjICO4SUfLs6s6tH6D67jA2JcOPcqv/4OpmRfRv
3jfRMMwwTR7gHDAWTMq/vu+WJo3tSBaFjac9nGiEDxGwueANnnr2xAhtGKklTGR4LipYbga4PayK
/YfAUclgpUkYB3oGU3zdwCVWJPddMcsL6RP36PbESkgkP+nwwIN1ZxfTKc36B0WntYCfLbX4FbvT
Q+lQCNt+x0YaQjacKH6w7Gomrz6PxkH8mIw3VnHXGfA+6KCzRYEyVOM5GYYTZucrJVmQp7K6SQAS
oHgO3sHWWyv4MY/SKu4GLKrgcdRPZWRJ6NrqceyMnyCxi7Wfyh/YPA+tzF6h1O/00IJ3sn4UE6EE
5VFQ8Q7i5oCaZrX4TGcT9xl0wQ6YZrDy9OdIqsAMH7Iux5AMU0x9JD8ma/qXl0rRI6fJ3sH+i3bt
BvraqaVAxnCGwcwnU8Gqcpx6CD5194Qr+jKpeV3y5ilOp7seZt9muDQtRrcnpXjdxObebaoHNxn3
JoY40mC+IlM9FDDne2EjS+N+z9yNzPxTXJkHkqxOowM6sPAfSkvQr5RyA+smDKAqp7G7jRNzy1d/
bVpFOA4jp0z6whh6z2ww7Dy1dpkl19ddtIRkPm47MAOFh1S2fc2WB8BZawS3m6S/ClR+QPr6ovkI
dzNNDrsJa0vTvfPzJUwuPb22ScsknHzq5KlHmtno7K0pSWYN2qzaC1GY68UGncjUv3vJSu++RrlO
1dlsKs0yJlADXNXsqykcqKaIIvwSO17w4jA1RQD8y4+NrQJovarr6LriNqThqk9dk+/FwnKhVg/o
ZM55nF05Yh43UL9WDSI6uHwW/3+3YfO/hW61ieK24mR6zcS4t6dpX/ZJgPQ9xRndsTdPqte4da8n
bT8XRL6sXPnqLs3jVPZdyFV9aCLvZxH2VdQniDlaVBeFFV/NE3KUnkTvjY79InSd5Rp20qqR9R0g
Nb3ztPnhtPR1YtTn2p4/8gZzBIzXV2aq5CGBKloTbn/STvc0LP5x8GCX2ibj9/yQw5EFKF7hIZzW
IskerVa+9qK/Mqfps5yggxgVyN3C3hsjLlvTPJUkBIKtfUbMuPI1iUNOcJa9cRPnb2gmMBf36yBK
btshvbdL+Gdc7axCf5ZUrGY+sWkKsIVdxH/pru6gwFnNOTI+hxyd0WK+T2zwYjFtrT74yhARIx6E
beK65yj4LmkavSB0jFvt3yqEfPZd1Z+RpZ40mRS9jRXOPg+zWEH+fiqnFu4DllGwlZXEiAiuV2Tf
eUqY40j/0756wePIMDmdCCEsEDklG0u89fGDF0Mk9DVx6fdAE4iUHc94TLhcDJw+ZxhBl83RtQmR
BLXOquOMSiUTe2/rot3J03zFOJDz4c4avxCropGyX7ue2czMfZ2LVz844ZFYe8W9GYNC4Vn50kQi
X5OXvYnTzxHQeNn/TFm9LlXwOdl2sQ2G9tNQcp/qeI9X8tcwYqBjsUZrVwck7bK6dIMR+yYZ8UHt
HzImrCvIge3Gj8vndCZpcxKz88vQgo0kJEy2KP52JOTN1dVjEjfeZsmsxyA33up5fqnz5XHBwrFE
nQdOmZ2xXbGTYMRYhMy/K7T4NF3DWH3V/bLzF2/P7uiybMRt61NOxQkLM4dQDW2SQY/PsQTt12E4
7XHWyDHCGIL9YJHeZzkMR9jY3/7cPwYVW4omE/iiyA6sgQGscOPnYeRdOF1GtMkG5u8swZTFXHxx
rgmh+8lNpiLWLu7kEUPMxqr1TT4qnr6gZxv3dp67HeROsXEAE2y1g9zbGdHzs+9PNyxLDcS2QQcV
xJhX/5QsdLqEfQShcoNTjoqYFVL/mJrlq0b9josEOXncRmc7sY58NmkIi+KS7hFBpPAI7fGqvl+Z
Bkx4kFYP/7va0f8FucofQKnNR/cRVl1Kqlb/refzd9sX3b8mDFz+7alOq+6x/p/7j/5F/vH3X+i3
799/8uOsvv/rf+GCqbrLO4jTuvpzY/l7Tf2XXvX3t/T7+/1Hr/Dfmbu+3rRhIP5Vqj3sESUEAtG0
ShuT2o7Roa7Snq8kagxJqRKiKfv0+50d0xgCZdgP+I0knM/n8/3z+ZwRhlXFAN1HXgqOJYZ+gGOI
3GCE41bR5+b1KOohtSYYe4PAk00l2LQodIgGx4eniHn8G2MAFOe45kaUm0IsNm0SoA4cXOZTaLAD
okUDXPIHz3boD5tBIgDQosEYr70IG+KR6uiSBg9PHxNmN3q+yT7AnQO+mmFvZ/ReD+dSmUcaDoGd
i/4uiAgcPlFIqdsWtwtqfxkcZoGwJ+uKhT58DG6Y6hYLIEozRuDXC2HByYYwyWURwfcQwBoN4GTY
McO4F8KVwUhDRQeTGXBrCy5MQSHAYUMHnGW+MDpw2p0tEQIk+I390RCV62TbIcK4h3PcKOaGS1Jk
+48VccKy2WqYSSqyWOoWkZRdKujQB1qs7r9vROpd/PkDqw7jQ1Y1qu831XNtLBi56FsvtRCQ/TR/
bwa437XRlx6VfngrkoKKRVrLF3WD5j3l0FCIrKaIuM4LipMybYt+nLPn6oUtRWmg2+KCo/DLknIN
hinDuZX6t9K/54BF3jYVGgyDVYrKFttbKurdMgXBkGsKWEMWOS1SyjopPfACiBbbLr5TnldXHyl/
/XQ1JRSeFwaFoH8jrCXbXqZUvMA4W5EGJdk97PsOZnUKPs12AA8ihKxskf5BqzKl+E+SvGpgEm1O
I9YPzmfGGcVp3b2GlLy0Rf9nLIC+RlSuIkS9HEzmvIqrRZoURW0ADwMfQtkW63n1sqQnDUdijXLc
DrB+oCUhRYEMY72xU2yR/iVWK2EILIRGhw54+5FykWFXKzb2roJ+GMLascVa3hjXJVoCZcLawv+d
lJurrwlquGQaWZ5PpO/7DrCfEYQ5BNamMHgcxxj7DiTvTbUEdMOrGYEN+wGMUFu63KwNjBkuqn7b
w4VW3u523ovF+glboXcliujEpQbO9Mct2b7P1rntOL6gvt1h9YRUFlQzdyEoxd91YZoDAO2N+pGD
eX5EEb/K5KAGuIPV270vrQnPcyH7wl6yfna+OuGdb55qDamBDgckcECmGdfFq0zLQHo3fLrHlo9m
yTNsHKqNVQHKMO4OjMlvSZYKjeUbWdgvs8X8YHaBwn7gQB9OuEi4QFaDaWYr19IB30zSlDYbUe71
0FQxdzC/Us8cv5nU0l94t5q6Jfx3S5FZwj/1FJxlN93y6Jw8maOIdPmb2+jUvheq445dfzNdbP5i
kSVUXP8DAAD//w==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13</xdr:row>
      <xdr:rowOff>61912</xdr:rowOff>
    </xdr:from>
    <xdr:to>
      <xdr:col>7</xdr:col>
      <xdr:colOff>485775</xdr:colOff>
      <xdr:row>26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E971BF-8991-31AF-1D9E-9FF14F554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323850</xdr:colOff>
      <xdr:row>5</xdr:row>
      <xdr:rowOff>142875</xdr:rowOff>
    </xdr:from>
    <xdr:to>
      <xdr:col>19</xdr:col>
      <xdr:colOff>381000</xdr:colOff>
      <xdr:row>19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E8D307-5026-4ABE-B967-911C44FA2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133350</xdr:colOff>
      <xdr:row>24</xdr:row>
      <xdr:rowOff>147637</xdr:rowOff>
    </xdr:from>
    <xdr:to>
      <xdr:col>18</xdr:col>
      <xdr:colOff>542925</xdr:colOff>
      <xdr:row>37</xdr:row>
      <xdr:rowOff>123825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8473235-F024-CC3C-BD1D-B694EC12DD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01300" y="4719637"/>
              <a:ext cx="2847975" cy="24526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10</xdr:row>
      <xdr:rowOff>23812</xdr:rowOff>
    </xdr:from>
    <xdr:to>
      <xdr:col>5</xdr:col>
      <xdr:colOff>19050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74AD44-5DB4-00FC-47FE-B94B7D093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133350</xdr:colOff>
      <xdr:row>11</xdr:row>
      <xdr:rowOff>38100</xdr:rowOff>
    </xdr:from>
    <xdr:to>
      <xdr:col>21</xdr:col>
      <xdr:colOff>466725</xdr:colOff>
      <xdr:row>23</xdr:row>
      <xdr:rowOff>142876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44CA07-52BC-4F62-A3B4-9DA6F3D98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sDat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ble_Nam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_Data"/>
      <sheetName val="Exercises"/>
      <sheetName val="Product_Lookup"/>
      <sheetName val="Sheet1"/>
      <sheetName val="Sheet2"/>
    </sheetNames>
    <sheetDataSet>
      <sheetData sheetId="0">
        <row r="2">
          <cell r="H2">
            <v>3</v>
          </cell>
          <cell r="K2">
            <v>156570</v>
          </cell>
        </row>
        <row r="3">
          <cell r="H3">
            <v>2</v>
          </cell>
          <cell r="K3">
            <v>34080</v>
          </cell>
        </row>
        <row r="4">
          <cell r="H4">
            <v>2</v>
          </cell>
          <cell r="K4">
            <v>114360</v>
          </cell>
        </row>
        <row r="5">
          <cell r="H5">
            <v>5</v>
          </cell>
          <cell r="K5">
            <v>40500</v>
          </cell>
        </row>
        <row r="6">
          <cell r="H6">
            <v>5</v>
          </cell>
          <cell r="K6">
            <v>39900</v>
          </cell>
        </row>
        <row r="7">
          <cell r="H7">
            <v>3</v>
          </cell>
          <cell r="K7">
            <v>690</v>
          </cell>
        </row>
        <row r="8">
          <cell r="H8">
            <v>4</v>
          </cell>
          <cell r="K8">
            <v>4680</v>
          </cell>
        </row>
        <row r="9">
          <cell r="H9">
            <v>2</v>
          </cell>
          <cell r="K9">
            <v>38980</v>
          </cell>
        </row>
        <row r="10">
          <cell r="H10">
            <v>2</v>
          </cell>
          <cell r="K10">
            <v>9440</v>
          </cell>
        </row>
        <row r="11">
          <cell r="H11">
            <v>4</v>
          </cell>
          <cell r="K11">
            <v>11760</v>
          </cell>
        </row>
        <row r="12">
          <cell r="H12">
            <v>4</v>
          </cell>
          <cell r="K12">
            <v>12080</v>
          </cell>
        </row>
        <row r="13">
          <cell r="H13">
            <v>2</v>
          </cell>
          <cell r="K13">
            <v>360</v>
          </cell>
        </row>
        <row r="14">
          <cell r="H14">
            <v>2</v>
          </cell>
          <cell r="K14">
            <v>1360</v>
          </cell>
        </row>
        <row r="15">
          <cell r="H15">
            <v>3</v>
          </cell>
          <cell r="K15">
            <v>8070</v>
          </cell>
        </row>
        <row r="16">
          <cell r="H16">
            <v>2</v>
          </cell>
          <cell r="K16">
            <v>9280</v>
          </cell>
        </row>
        <row r="17">
          <cell r="H17">
            <v>3</v>
          </cell>
          <cell r="K17">
            <v>19260</v>
          </cell>
        </row>
        <row r="18">
          <cell r="H18">
            <v>5</v>
          </cell>
          <cell r="K18">
            <v>56650</v>
          </cell>
        </row>
        <row r="19">
          <cell r="H19">
            <v>3</v>
          </cell>
          <cell r="K19">
            <v>37230</v>
          </cell>
        </row>
        <row r="20">
          <cell r="H20">
            <v>1</v>
          </cell>
          <cell r="K20">
            <v>640</v>
          </cell>
        </row>
        <row r="21">
          <cell r="H21">
            <v>1</v>
          </cell>
          <cell r="K21">
            <v>1710</v>
          </cell>
        </row>
        <row r="22">
          <cell r="H22">
            <v>5</v>
          </cell>
          <cell r="K22">
            <v>1150</v>
          </cell>
        </row>
        <row r="23">
          <cell r="H23">
            <v>4</v>
          </cell>
          <cell r="K23">
            <v>3040</v>
          </cell>
        </row>
        <row r="24">
          <cell r="H24">
            <v>2</v>
          </cell>
          <cell r="K24">
            <v>1040</v>
          </cell>
        </row>
        <row r="25">
          <cell r="H25">
            <v>4</v>
          </cell>
          <cell r="K25">
            <v>26000</v>
          </cell>
        </row>
        <row r="26">
          <cell r="H26">
            <v>4</v>
          </cell>
          <cell r="K26">
            <v>44360</v>
          </cell>
        </row>
        <row r="27">
          <cell r="H27">
            <v>3</v>
          </cell>
          <cell r="K27">
            <v>10440</v>
          </cell>
        </row>
        <row r="28">
          <cell r="H28">
            <v>1</v>
          </cell>
          <cell r="K28">
            <v>1620</v>
          </cell>
        </row>
        <row r="29">
          <cell r="H29">
            <v>1</v>
          </cell>
          <cell r="K29">
            <v>9140</v>
          </cell>
        </row>
        <row r="30">
          <cell r="H30">
            <v>1</v>
          </cell>
          <cell r="K30">
            <v>870</v>
          </cell>
        </row>
        <row r="31">
          <cell r="H31">
            <v>3</v>
          </cell>
          <cell r="K31">
            <v>1980</v>
          </cell>
        </row>
        <row r="32">
          <cell r="H32">
            <v>3</v>
          </cell>
          <cell r="K32">
            <v>173940</v>
          </cell>
        </row>
        <row r="33">
          <cell r="H33">
            <v>5</v>
          </cell>
          <cell r="K33">
            <v>20400</v>
          </cell>
        </row>
        <row r="34">
          <cell r="H34">
            <v>2</v>
          </cell>
          <cell r="K34">
            <v>17620</v>
          </cell>
        </row>
        <row r="35">
          <cell r="H35">
            <v>4</v>
          </cell>
          <cell r="K35">
            <v>4360</v>
          </cell>
        </row>
        <row r="36">
          <cell r="H36">
            <v>2</v>
          </cell>
          <cell r="K36">
            <v>1040</v>
          </cell>
        </row>
        <row r="37">
          <cell r="H37">
            <v>1</v>
          </cell>
          <cell r="K37">
            <v>10390</v>
          </cell>
        </row>
        <row r="38">
          <cell r="H38">
            <v>5</v>
          </cell>
          <cell r="K38">
            <v>6550</v>
          </cell>
        </row>
        <row r="39">
          <cell r="H39">
            <v>1</v>
          </cell>
          <cell r="K39">
            <v>3130</v>
          </cell>
        </row>
        <row r="40">
          <cell r="H40">
            <v>1</v>
          </cell>
          <cell r="K40">
            <v>200</v>
          </cell>
        </row>
        <row r="41">
          <cell r="H41">
            <v>3</v>
          </cell>
          <cell r="K41">
            <v>19710</v>
          </cell>
        </row>
        <row r="42">
          <cell r="H42">
            <v>1</v>
          </cell>
          <cell r="K42">
            <v>1540</v>
          </cell>
        </row>
        <row r="43">
          <cell r="H43">
            <v>4</v>
          </cell>
          <cell r="K43">
            <v>13560</v>
          </cell>
        </row>
        <row r="44">
          <cell r="H44">
            <v>2</v>
          </cell>
          <cell r="K44">
            <v>22300</v>
          </cell>
        </row>
        <row r="45">
          <cell r="H45">
            <v>4</v>
          </cell>
          <cell r="K45">
            <v>25480</v>
          </cell>
        </row>
        <row r="46">
          <cell r="H46">
            <v>5</v>
          </cell>
          <cell r="K46">
            <v>118750</v>
          </cell>
        </row>
        <row r="47">
          <cell r="H47">
            <v>5</v>
          </cell>
          <cell r="K47">
            <v>14800</v>
          </cell>
        </row>
        <row r="48">
          <cell r="H48">
            <v>2</v>
          </cell>
          <cell r="K48">
            <v>1060</v>
          </cell>
        </row>
        <row r="49">
          <cell r="H49">
            <v>2</v>
          </cell>
          <cell r="K49">
            <v>8780</v>
          </cell>
        </row>
        <row r="50">
          <cell r="H50">
            <v>2</v>
          </cell>
          <cell r="K50">
            <v>53320</v>
          </cell>
        </row>
        <row r="51">
          <cell r="H51">
            <v>4</v>
          </cell>
          <cell r="K51">
            <v>3440</v>
          </cell>
        </row>
        <row r="52">
          <cell r="H52">
            <v>4</v>
          </cell>
          <cell r="K52">
            <v>640</v>
          </cell>
        </row>
        <row r="53">
          <cell r="H53">
            <v>4</v>
          </cell>
          <cell r="K53">
            <v>224040</v>
          </cell>
        </row>
        <row r="54">
          <cell r="H54">
            <v>2</v>
          </cell>
          <cell r="K54">
            <v>3560</v>
          </cell>
        </row>
        <row r="55">
          <cell r="H55">
            <v>1</v>
          </cell>
          <cell r="K55">
            <v>1760</v>
          </cell>
        </row>
        <row r="56">
          <cell r="H56">
            <v>2</v>
          </cell>
          <cell r="K56">
            <v>8320</v>
          </cell>
        </row>
        <row r="57">
          <cell r="H57">
            <v>2</v>
          </cell>
          <cell r="K57">
            <v>5460</v>
          </cell>
        </row>
        <row r="58">
          <cell r="H58">
            <v>5</v>
          </cell>
          <cell r="K58">
            <v>93450</v>
          </cell>
        </row>
        <row r="59">
          <cell r="H59">
            <v>4</v>
          </cell>
          <cell r="K59">
            <v>6600</v>
          </cell>
        </row>
        <row r="60">
          <cell r="H60">
            <v>2</v>
          </cell>
          <cell r="K60">
            <v>500</v>
          </cell>
        </row>
        <row r="61">
          <cell r="H61">
            <v>2</v>
          </cell>
          <cell r="K61">
            <v>3840</v>
          </cell>
        </row>
        <row r="62">
          <cell r="H62">
            <v>4</v>
          </cell>
          <cell r="K62">
            <v>235440</v>
          </cell>
        </row>
        <row r="63">
          <cell r="H63">
            <v>5</v>
          </cell>
          <cell r="K63">
            <v>299650</v>
          </cell>
        </row>
        <row r="64">
          <cell r="H64">
            <v>1</v>
          </cell>
          <cell r="K64">
            <v>52740</v>
          </cell>
        </row>
        <row r="65">
          <cell r="H65">
            <v>5</v>
          </cell>
          <cell r="K65">
            <v>850</v>
          </cell>
        </row>
        <row r="66">
          <cell r="H66">
            <v>2</v>
          </cell>
          <cell r="K66">
            <v>3000</v>
          </cell>
        </row>
        <row r="67">
          <cell r="H67">
            <v>3</v>
          </cell>
          <cell r="K67">
            <v>33690</v>
          </cell>
        </row>
        <row r="68">
          <cell r="H68">
            <v>1</v>
          </cell>
          <cell r="K68">
            <v>590</v>
          </cell>
        </row>
        <row r="69">
          <cell r="H69">
            <v>1</v>
          </cell>
          <cell r="K69">
            <v>2450</v>
          </cell>
        </row>
        <row r="70">
          <cell r="H70">
            <v>1</v>
          </cell>
          <cell r="K70">
            <v>12140</v>
          </cell>
        </row>
        <row r="71">
          <cell r="H71">
            <v>5</v>
          </cell>
          <cell r="K71">
            <v>4400</v>
          </cell>
        </row>
        <row r="72">
          <cell r="H72">
            <v>2</v>
          </cell>
          <cell r="K72">
            <v>2240</v>
          </cell>
        </row>
        <row r="73">
          <cell r="H73">
            <v>3</v>
          </cell>
          <cell r="K73">
            <v>2490</v>
          </cell>
        </row>
        <row r="74">
          <cell r="H74">
            <v>2</v>
          </cell>
          <cell r="K74">
            <v>3300</v>
          </cell>
        </row>
        <row r="75">
          <cell r="H75">
            <v>1</v>
          </cell>
          <cell r="K75">
            <v>250</v>
          </cell>
        </row>
        <row r="76">
          <cell r="H76">
            <v>1</v>
          </cell>
          <cell r="K76">
            <v>3230</v>
          </cell>
        </row>
        <row r="77">
          <cell r="H77">
            <v>5</v>
          </cell>
          <cell r="K77">
            <v>43150</v>
          </cell>
        </row>
        <row r="78">
          <cell r="H78">
            <v>4</v>
          </cell>
          <cell r="K78">
            <v>69800</v>
          </cell>
        </row>
        <row r="79">
          <cell r="H79">
            <v>1</v>
          </cell>
          <cell r="K79">
            <v>1590</v>
          </cell>
        </row>
        <row r="80">
          <cell r="H80">
            <v>2</v>
          </cell>
          <cell r="K80">
            <v>50180</v>
          </cell>
        </row>
        <row r="81">
          <cell r="H81">
            <v>4</v>
          </cell>
          <cell r="K81">
            <v>3440</v>
          </cell>
        </row>
        <row r="82">
          <cell r="H82">
            <v>5</v>
          </cell>
          <cell r="K82">
            <v>269950</v>
          </cell>
        </row>
        <row r="83">
          <cell r="H83">
            <v>3</v>
          </cell>
          <cell r="K83">
            <v>9450</v>
          </cell>
        </row>
        <row r="84">
          <cell r="H84">
            <v>1</v>
          </cell>
          <cell r="K84">
            <v>4300</v>
          </cell>
        </row>
        <row r="85">
          <cell r="H85">
            <v>4</v>
          </cell>
          <cell r="K85">
            <v>27880</v>
          </cell>
        </row>
        <row r="86">
          <cell r="H86">
            <v>2</v>
          </cell>
          <cell r="K86">
            <v>1420</v>
          </cell>
        </row>
        <row r="87">
          <cell r="H87">
            <v>4</v>
          </cell>
          <cell r="K87">
            <v>19680</v>
          </cell>
        </row>
        <row r="88">
          <cell r="H88">
            <v>2</v>
          </cell>
          <cell r="K88">
            <v>108020</v>
          </cell>
        </row>
        <row r="89">
          <cell r="H89">
            <v>4</v>
          </cell>
          <cell r="K89">
            <v>7000</v>
          </cell>
        </row>
        <row r="90">
          <cell r="H90">
            <v>1</v>
          </cell>
          <cell r="K90">
            <v>190</v>
          </cell>
        </row>
        <row r="91">
          <cell r="H91">
            <v>3</v>
          </cell>
          <cell r="K91">
            <v>25140</v>
          </cell>
        </row>
        <row r="92">
          <cell r="H92">
            <v>2</v>
          </cell>
          <cell r="K92">
            <v>6000</v>
          </cell>
        </row>
        <row r="93">
          <cell r="H93">
            <v>2</v>
          </cell>
          <cell r="K93">
            <v>2920</v>
          </cell>
        </row>
        <row r="94">
          <cell r="H94">
            <v>1</v>
          </cell>
          <cell r="K94">
            <v>520</v>
          </cell>
        </row>
        <row r="95">
          <cell r="H95">
            <v>1</v>
          </cell>
          <cell r="K95">
            <v>7030</v>
          </cell>
        </row>
        <row r="96">
          <cell r="H96">
            <v>3</v>
          </cell>
          <cell r="K96">
            <v>9330</v>
          </cell>
        </row>
        <row r="97">
          <cell r="H97">
            <v>1</v>
          </cell>
          <cell r="K97">
            <v>4870</v>
          </cell>
        </row>
        <row r="98">
          <cell r="H98">
            <v>2</v>
          </cell>
          <cell r="K98">
            <v>18080</v>
          </cell>
        </row>
        <row r="99">
          <cell r="H99">
            <v>5</v>
          </cell>
          <cell r="K99">
            <v>31650</v>
          </cell>
        </row>
        <row r="100">
          <cell r="H100">
            <v>1</v>
          </cell>
          <cell r="K100">
            <v>8800</v>
          </cell>
        </row>
        <row r="101">
          <cell r="H101">
            <v>4</v>
          </cell>
          <cell r="K101">
            <v>2960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_Data"/>
      <sheetName val="Exercises"/>
      <sheetName val="Product_Lookup"/>
    </sheetNames>
    <sheetDataSet>
      <sheetData sheetId="0">
        <row r="3">
          <cell r="M3">
            <v>27264</v>
          </cell>
        </row>
        <row r="4">
          <cell r="M4">
            <v>102924</v>
          </cell>
        </row>
        <row r="5">
          <cell r="M5">
            <v>40500</v>
          </cell>
        </row>
        <row r="6">
          <cell r="M6">
            <v>39900</v>
          </cell>
        </row>
        <row r="7">
          <cell r="M7">
            <v>621</v>
          </cell>
        </row>
        <row r="8">
          <cell r="M8">
            <v>3744</v>
          </cell>
        </row>
        <row r="9">
          <cell r="M9">
            <v>31184</v>
          </cell>
        </row>
        <row r="10">
          <cell r="M10">
            <v>7552</v>
          </cell>
        </row>
        <row r="11">
          <cell r="M11">
            <v>11760</v>
          </cell>
        </row>
        <row r="12">
          <cell r="M12">
            <v>9664</v>
          </cell>
        </row>
        <row r="13">
          <cell r="M13">
            <v>324</v>
          </cell>
        </row>
        <row r="14">
          <cell r="M14">
            <v>1292</v>
          </cell>
        </row>
        <row r="15">
          <cell r="M15">
            <v>7263</v>
          </cell>
        </row>
        <row r="16">
          <cell r="M16">
            <v>7424</v>
          </cell>
        </row>
        <row r="17">
          <cell r="M17">
            <v>15408</v>
          </cell>
        </row>
        <row r="18">
          <cell r="M18">
            <v>56650</v>
          </cell>
        </row>
        <row r="19">
          <cell r="M19">
            <v>35368.5</v>
          </cell>
        </row>
        <row r="20">
          <cell r="M20">
            <v>544</v>
          </cell>
        </row>
        <row r="21">
          <cell r="M21">
            <v>1624.5</v>
          </cell>
        </row>
        <row r="22">
          <cell r="M22">
            <v>920</v>
          </cell>
        </row>
        <row r="23">
          <cell r="M23">
            <v>2888</v>
          </cell>
        </row>
        <row r="24">
          <cell r="M24">
            <v>988</v>
          </cell>
        </row>
        <row r="25">
          <cell r="M25">
            <v>20800</v>
          </cell>
        </row>
        <row r="26">
          <cell r="M26">
            <v>35488</v>
          </cell>
        </row>
        <row r="27">
          <cell r="M27">
            <v>9918</v>
          </cell>
        </row>
        <row r="28">
          <cell r="M28">
            <v>1296</v>
          </cell>
        </row>
        <row r="29">
          <cell r="M29">
            <v>8226</v>
          </cell>
        </row>
        <row r="30">
          <cell r="M30">
            <v>826.5</v>
          </cell>
        </row>
        <row r="31">
          <cell r="M31">
            <v>1782</v>
          </cell>
        </row>
        <row r="32">
          <cell r="M32">
            <v>156546</v>
          </cell>
        </row>
        <row r="33">
          <cell r="M33">
            <v>18360</v>
          </cell>
        </row>
        <row r="34">
          <cell r="M34">
            <v>17620</v>
          </cell>
        </row>
        <row r="35">
          <cell r="M35">
            <v>3924</v>
          </cell>
        </row>
        <row r="36">
          <cell r="M36">
            <v>884</v>
          </cell>
        </row>
        <row r="37">
          <cell r="M37">
            <v>9351</v>
          </cell>
        </row>
        <row r="38">
          <cell r="M38">
            <v>5895</v>
          </cell>
        </row>
        <row r="39">
          <cell r="M39">
            <v>2504</v>
          </cell>
        </row>
        <row r="40">
          <cell r="M40">
            <v>180</v>
          </cell>
        </row>
        <row r="41">
          <cell r="M41">
            <v>18724.5</v>
          </cell>
        </row>
        <row r="42">
          <cell r="M42">
            <v>1463</v>
          </cell>
        </row>
        <row r="43">
          <cell r="M43">
            <v>12882</v>
          </cell>
        </row>
        <row r="44">
          <cell r="M44">
            <v>22300</v>
          </cell>
        </row>
        <row r="45">
          <cell r="M45">
            <v>24206</v>
          </cell>
        </row>
        <row r="46">
          <cell r="M46">
            <v>118750</v>
          </cell>
        </row>
        <row r="47">
          <cell r="M47">
            <v>11840</v>
          </cell>
        </row>
        <row r="48">
          <cell r="M48">
            <v>1060</v>
          </cell>
        </row>
        <row r="49">
          <cell r="M49">
            <v>8341</v>
          </cell>
        </row>
        <row r="50">
          <cell r="M50">
            <v>45322</v>
          </cell>
        </row>
        <row r="51">
          <cell r="M51">
            <v>2924</v>
          </cell>
        </row>
        <row r="52">
          <cell r="M52">
            <v>576</v>
          </cell>
        </row>
        <row r="53">
          <cell r="M53">
            <v>224040</v>
          </cell>
        </row>
        <row r="54">
          <cell r="M54">
            <v>3204</v>
          </cell>
        </row>
        <row r="55">
          <cell r="M55">
            <v>1584</v>
          </cell>
        </row>
        <row r="56">
          <cell r="M56">
            <v>8320</v>
          </cell>
        </row>
        <row r="57">
          <cell r="M57">
            <v>5460</v>
          </cell>
        </row>
        <row r="58">
          <cell r="M58">
            <v>88777.5</v>
          </cell>
        </row>
        <row r="59">
          <cell r="M59">
            <v>6600</v>
          </cell>
        </row>
        <row r="60">
          <cell r="M60">
            <v>400</v>
          </cell>
        </row>
        <row r="61">
          <cell r="M61">
            <v>3840</v>
          </cell>
        </row>
        <row r="62">
          <cell r="M62">
            <v>223668</v>
          </cell>
        </row>
        <row r="63">
          <cell r="M63">
            <v>299650</v>
          </cell>
        </row>
        <row r="64">
          <cell r="M64">
            <v>44829</v>
          </cell>
        </row>
        <row r="65">
          <cell r="M65">
            <v>722.5</v>
          </cell>
        </row>
        <row r="66">
          <cell r="M66">
            <v>2550</v>
          </cell>
        </row>
        <row r="67">
          <cell r="M67">
            <v>33690</v>
          </cell>
        </row>
        <row r="68">
          <cell r="M68">
            <v>472</v>
          </cell>
        </row>
        <row r="69">
          <cell r="M69">
            <v>2450</v>
          </cell>
        </row>
        <row r="70">
          <cell r="M70">
            <v>10319</v>
          </cell>
        </row>
        <row r="71">
          <cell r="M71">
            <v>3960</v>
          </cell>
        </row>
        <row r="72">
          <cell r="M72">
            <v>2240</v>
          </cell>
        </row>
        <row r="73">
          <cell r="M73">
            <v>2116.5</v>
          </cell>
        </row>
        <row r="74">
          <cell r="M74">
            <v>2970</v>
          </cell>
        </row>
        <row r="75">
          <cell r="M75">
            <v>225</v>
          </cell>
        </row>
        <row r="76">
          <cell r="M76">
            <v>2907</v>
          </cell>
        </row>
        <row r="77">
          <cell r="M77">
            <v>40992.5</v>
          </cell>
        </row>
        <row r="78">
          <cell r="M78">
            <v>62820</v>
          </cell>
        </row>
        <row r="79">
          <cell r="M79">
            <v>1431</v>
          </cell>
        </row>
        <row r="80">
          <cell r="M80">
            <v>40144</v>
          </cell>
        </row>
        <row r="81">
          <cell r="M81">
            <v>2924</v>
          </cell>
        </row>
        <row r="82">
          <cell r="M82">
            <v>256452.5</v>
          </cell>
        </row>
        <row r="83">
          <cell r="M83">
            <v>8032.5</v>
          </cell>
        </row>
        <row r="84">
          <cell r="M84">
            <v>3655</v>
          </cell>
        </row>
        <row r="85">
          <cell r="M85">
            <v>23698</v>
          </cell>
        </row>
        <row r="86">
          <cell r="M86">
            <v>1349</v>
          </cell>
        </row>
        <row r="87">
          <cell r="M87">
            <v>18696</v>
          </cell>
        </row>
        <row r="88">
          <cell r="M88">
            <v>102619</v>
          </cell>
        </row>
        <row r="89">
          <cell r="M89">
            <v>5950</v>
          </cell>
        </row>
        <row r="90">
          <cell r="M90">
            <v>190</v>
          </cell>
        </row>
        <row r="91">
          <cell r="M91">
            <v>23883</v>
          </cell>
        </row>
        <row r="92">
          <cell r="M92">
            <v>4800</v>
          </cell>
        </row>
        <row r="93">
          <cell r="M93">
            <v>2628</v>
          </cell>
        </row>
        <row r="94">
          <cell r="M94">
            <v>416</v>
          </cell>
        </row>
        <row r="95">
          <cell r="M95">
            <v>5975.5</v>
          </cell>
        </row>
        <row r="96">
          <cell r="M96">
            <v>8863.5</v>
          </cell>
        </row>
        <row r="97">
          <cell r="M97">
            <v>4383</v>
          </cell>
        </row>
        <row r="98">
          <cell r="M98">
            <v>15368</v>
          </cell>
        </row>
        <row r="99">
          <cell r="M99">
            <v>26902.5</v>
          </cell>
        </row>
        <row r="100">
          <cell r="M100">
            <v>7480</v>
          </cell>
        </row>
        <row r="101">
          <cell r="M101">
            <v>2960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 pa" refreshedDate="46280.524115162036" createdVersion="8" refreshedVersion="8" minRefreshableVersion="3" recordCount="101" xr:uid="{1A47282C-484B-44F8-8AC6-103D2D403F46}">
  <cacheSource type="worksheet">
    <worksheetSource name="SalesData"/>
  </cacheSource>
  <cacheFields count="19">
    <cacheField name="Column1" numFmtId="0">
      <sharedItems count="101">
        <s v="ORD0004"/>
        <s v="ORD0005"/>
        <s v="ORD0010"/>
        <s v="ORD0017"/>
        <s v="ORD0033"/>
        <s v="ORD0043"/>
        <s v="ORD0045"/>
        <s v="ORD0047"/>
        <s v="ORD0052"/>
        <s v="ORD0055"/>
        <s v="ORD0056"/>
        <s v="ORD0058"/>
        <s v="ORD0060"/>
        <s v="ORD0062"/>
        <s v="ORD0066"/>
        <s v="ORD0068"/>
        <s v="ORD0071"/>
        <s v="ORD0089"/>
        <s v="ORD0100"/>
        <s v="ORD0001"/>
        <s v="ORD0013"/>
        <s v="ORD0018"/>
        <s v="ORD0020"/>
        <s v="ORD0022"/>
        <s v="ORD0023"/>
        <s v="ORD0026"/>
        <s v="ORD0029"/>
        <s v="ORD0040"/>
        <s v="ORD0041"/>
        <s v="ORD0042"/>
        <s v="ORD0044"/>
        <s v="ORD0048"/>
        <s v="ORD0057"/>
        <s v="ORD0061"/>
        <s v="ORD0076"/>
        <s v="ORD0081"/>
        <s v="ORD0085"/>
        <s v="ORD0086"/>
        <s v="ORD0087"/>
        <s v="ORD0090"/>
        <s v="ORD0095"/>
        <s v="ORD0003"/>
        <s v="ORD0006"/>
        <s v="ORD0012"/>
        <s v="ORD0014"/>
        <s v="ORD0028"/>
        <s v="ORD0030"/>
        <s v="ORD0031"/>
        <s v="ORD0032"/>
        <s v="ORD0034"/>
        <s v="ORD0036"/>
        <s v="ORD0037"/>
        <s v="ORD0039"/>
        <s v="ORD0051"/>
        <s v="ORD0053"/>
        <s v="ORD0054"/>
        <s v="ORD0070"/>
        <s v="ORD0073"/>
        <s v="ORD0074"/>
        <s v="ORD0075"/>
        <s v="ORD0077"/>
        <s v="ORD0078"/>
        <s v="ORD0092"/>
        <s v="ORD0096"/>
        <s v="ORD0019"/>
        <s v="ORD0035"/>
        <s v="ORD0049"/>
        <s v="ORD0050"/>
        <s v="ORD0063"/>
        <s v="ORD0064"/>
        <s v="ORD0065"/>
        <s v="ORD0069"/>
        <s v="ORD0072"/>
        <s v="ORD0080"/>
        <s v="ORD0082"/>
        <s v="ORD0083"/>
        <s v="ORD0084"/>
        <s v="ORD0088"/>
        <s v="ORD0094"/>
        <s v="ORD0097"/>
        <s v="ORD0098"/>
        <s v="ORD0099"/>
        <s v="ORD0002"/>
        <s v="ORD0007"/>
        <s v="ORD0008"/>
        <s v="ORD0009"/>
        <s v="ORD0011"/>
        <s v="ORD0015"/>
        <s v="ORD0016"/>
        <s v="ORD0021"/>
        <s v="ORD0024"/>
        <s v="ORD0025"/>
        <s v="ORD0027"/>
        <s v="ORD0038"/>
        <s v="ORD0046"/>
        <s v="ORD0059"/>
        <s v="ORD0067"/>
        <s v="ORD0079"/>
        <s v="ORD0091"/>
        <s v="ORD0093"/>
        <s v="Order_ID"/>
      </sharedItems>
    </cacheField>
    <cacheField name="Column2" numFmtId="0">
      <sharedItems containsDate="1" containsMixedTypes="1" minDate="2026-01-04T00:00:00" maxDate="2026-09-01T00:00:00" count="83">
        <d v="2026-07-06T00:00:00"/>
        <d v="2026-01-12T00:00:00"/>
        <d v="2026-08-09T00:00:00"/>
        <d v="2026-07-01T00:00:00"/>
        <d v="2026-04-01T00:00:00"/>
        <d v="2026-03-04T00:00:00"/>
        <d v="2026-04-27T00:00:00"/>
        <d v="2026-07-02T00:00:00"/>
        <d v="2026-01-22T00:00:00"/>
        <d v="2026-05-25T00:00:00"/>
        <d v="2026-05-29T00:00:00"/>
        <d v="2026-05-10T00:00:00"/>
        <d v="2026-03-13T00:00:00"/>
        <d v="2026-03-03T00:00:00"/>
        <d v="2026-05-28T00:00:00"/>
        <d v="2026-02-10T00:00:00"/>
        <d v="2026-04-24T00:00:00"/>
        <d v="2026-08-31T00:00:00"/>
        <d v="2026-07-08T00:00:00"/>
        <d v="2026-05-19T00:00:00"/>
        <d v="2026-05-18T00:00:00"/>
        <d v="2026-04-08T00:00:00"/>
        <d v="2026-01-15T00:00:00"/>
        <d v="2026-06-21T00:00:00"/>
        <d v="2026-03-09T00:00:00"/>
        <d v="2026-04-18T00:00:00"/>
        <d v="2026-04-21T00:00:00"/>
        <d v="2026-06-18T00:00:00"/>
        <d v="2026-06-17T00:00:00"/>
        <d v="2026-06-30T00:00:00"/>
        <d v="2026-01-27T00:00:00"/>
        <d v="2026-05-05T00:00:00"/>
        <d v="2026-05-01T00:00:00"/>
        <d v="2026-08-04T00:00:00"/>
        <d v="2026-08-08T00:00:00"/>
        <d v="2026-05-09T00:00:00"/>
        <d v="2026-01-20T00:00:00"/>
        <d v="2026-05-16T00:00:00"/>
        <d v="2026-06-10T00:00:00"/>
        <d v="2026-02-23T00:00:00"/>
        <d v="2026-03-14T00:00:00"/>
        <d v="2026-02-11T00:00:00"/>
        <d v="2026-05-30T00:00:00"/>
        <d v="2026-07-20T00:00:00"/>
        <d v="2026-03-31T00:00:00"/>
        <d v="2026-01-10T00:00:00"/>
        <d v="2026-06-09T00:00:00"/>
        <d v="2026-07-14T00:00:00"/>
        <d v="2026-02-27T00:00:00"/>
        <d v="2026-05-26T00:00:00"/>
        <d v="2026-07-31T00:00:00"/>
        <d v="2026-06-29T00:00:00"/>
        <d v="2026-06-04T00:00:00"/>
        <d v="2026-03-24T00:00:00"/>
        <d v="2026-03-06T00:00:00"/>
        <d v="2026-05-31T00:00:00"/>
        <d v="2026-07-11T00:00:00"/>
        <d v="2026-08-20T00:00:00"/>
        <d v="2026-06-27T00:00:00"/>
        <d v="2026-03-11T00:00:00"/>
        <d v="2026-03-12T00:00:00"/>
        <d v="2026-06-05T00:00:00"/>
        <d v="2026-01-19T00:00:00"/>
        <d v="2026-02-01T00:00:00"/>
        <d v="2026-03-29T00:00:00"/>
        <d v="2026-08-12T00:00:00"/>
        <d v="2026-08-02T00:00:00"/>
        <d v="2026-07-26T00:00:00"/>
        <d v="2026-01-04T00:00:00"/>
        <d v="2026-01-07T00:00:00"/>
        <d v="2026-02-26T00:00:00"/>
        <d v="2026-08-13T00:00:00"/>
        <d v="2026-02-12T00:00:00"/>
        <d v="2026-04-26T00:00:00"/>
        <d v="2026-08-03T00:00:00"/>
        <d v="2026-03-05T00:00:00"/>
        <d v="2026-02-18T00:00:00"/>
        <d v="2026-04-25T00:00:00"/>
        <d v="2026-06-16T00:00:00"/>
        <d v="2026-07-13T00:00:00"/>
        <d v="2026-02-06T00:00:00"/>
        <d v="2026-04-02T00:00:00"/>
        <s v="Order_Date"/>
      </sharedItems>
    </cacheField>
    <cacheField name="Column3" numFmtId="0">
      <sharedItems count="76">
        <s v="Priya Patel"/>
        <s v="Pooja Yadav"/>
        <s v="Neha Patel"/>
        <s v="Rohan Yadav"/>
        <s v="Simran Agarwal"/>
        <s v="Ishita Yadav"/>
        <s v="Arjun Tiwari"/>
        <s v="Vikas Mishra"/>
        <s v="Rahul Kumar"/>
        <s v="Arjun Gupta"/>
        <s v="Pooja Agarwal"/>
        <s v="Aarav Patel"/>
        <s v="Rohan Kumar"/>
        <s v="Nisha Tiwari"/>
        <s v="Vikas Sharma"/>
        <s v="Aditya Singh"/>
        <s v="Arjun Agarwal"/>
        <s v="Pooja Sharma"/>
        <s v="Nisha Yadav"/>
        <s v="Kavya Yadav"/>
        <s v="Mohit Sharma"/>
        <s v="Saurabh Agarwal"/>
        <s v="Simran Singh"/>
        <s v="Karan Gupta"/>
        <s v="Kavya Sharma"/>
        <s v="Rohan Gupta"/>
        <s v="Priya Tiwari"/>
        <s v="Karan Singh"/>
        <s v="Ishita Mishra"/>
        <s v="Mohit Agarwal"/>
        <s v="Simran Patel"/>
        <s v="Arjun Yadav"/>
        <s v="Aditya Mishra"/>
        <s v="Amit Yadav"/>
        <s v="Neha Singh"/>
        <s v="Aditya Gupta"/>
        <s v="Ananya Agarwal"/>
        <s v="Mohit Yadav"/>
        <s v="Saurabh Yadav"/>
        <s v="Kavya Gupta"/>
        <s v="Aditya Yadav"/>
        <s v="Kavya Patel"/>
        <s v="Karan Tiwari"/>
        <s v="Simran Mishra"/>
        <s v="Priya Gupta"/>
        <s v="Vikas Patel"/>
        <s v="Aditya Sharma"/>
        <s v="Vikas Tiwari"/>
        <s v="Ananya Verma"/>
        <s v="Neha Mishra"/>
        <s v="Simran Gupta"/>
        <s v="Riya Singh"/>
        <s v="Arjun Sharma"/>
        <s v="Rohan Verma"/>
        <s v="Aarav Agarwal"/>
        <s v="Kavya Agarwal"/>
        <s v="Saurabh Mishra"/>
        <s v="Ishita Verma"/>
        <s v="Vikas Agarwal"/>
        <s v="Kavya Singh"/>
        <s v="Mohit Gupta"/>
        <s v="Amit Tiwari"/>
        <s v="Pooja Verma"/>
        <s v="Priya Kumar"/>
        <s v="Kavya Mishra"/>
        <s v="Aditya Verma"/>
        <s v="Riya Kumar"/>
        <s v="Ishita Patel"/>
        <s v="Aditya Agarwal"/>
        <s v="Ananya Tiwari"/>
        <s v="Simran Sharma"/>
        <s v="Nisha Kumar"/>
        <s v="Kavya Kumar"/>
        <s v="Arjun Mishra"/>
        <s v="Vikas Kumar"/>
        <s v="Customer_Name"/>
      </sharedItems>
    </cacheField>
    <cacheField name="Column4" numFmtId="0">
      <sharedItems count="11">
        <s v="Noida"/>
        <s v="Bhopal"/>
        <s v="Varanasi"/>
        <s v="Patna"/>
        <s v="Prayagraj"/>
        <s v="Agra"/>
        <s v="Jaipur"/>
        <s v="Lucknow"/>
        <s v="Delhi"/>
        <s v="Kanpur"/>
        <s v="City"/>
      </sharedItems>
    </cacheField>
    <cacheField name="Column5" numFmtId="0">
      <sharedItems count="2">
        <s v="Uttar Pradesh"/>
        <s v="State"/>
      </sharedItems>
    </cacheField>
    <cacheField name="Column6" numFmtId="0">
      <sharedItems count="21">
        <s v="Office Chair"/>
        <s v="Webcam"/>
        <s v="Monitor"/>
        <s v="Smartphone"/>
        <s v="Calculator"/>
        <s v="Laptop"/>
        <s v="Smartwatch"/>
        <s v="Headphones"/>
        <s v="Power Bank"/>
        <s v="Backpack"/>
        <s v="Keyboard"/>
        <s v="Notebook"/>
        <s v="USB Drive"/>
        <s v="Mouse"/>
        <s v="Desk"/>
        <s v="Tablet"/>
        <s v="Printer"/>
        <s v="Speaker"/>
        <s v="Pen Set"/>
        <s v="External HDD"/>
        <s v="Product"/>
      </sharedItems>
    </cacheField>
    <cacheField name="Column7" numFmtId="0">
      <sharedItems count="5">
        <s v="Furniture"/>
        <s v="Electronics"/>
        <s v="Stationery"/>
        <s v="Accessories"/>
        <s v="Category"/>
      </sharedItems>
    </cacheField>
    <cacheField name="Column8" numFmtId="0">
      <sharedItems containsMixedTypes="1" containsNumber="1" containsInteger="1" minValue="1" maxValue="5" count="6">
        <n v="5"/>
        <n v="4"/>
        <n v="2"/>
        <n v="3"/>
        <n v="1"/>
        <s v="Quantity"/>
      </sharedItems>
    </cacheField>
    <cacheField name="Column9" numFmtId="0">
      <sharedItems containsMixedTypes="1" containsNumber="1" containsInteger="1" minValue="8100" maxValue="8100" count="2">
        <n v="8100"/>
        <s v="Unit_Price"/>
      </sharedItems>
    </cacheField>
    <cacheField name="Column10" numFmtId="0">
      <sharedItems containsMixedTypes="1" containsNumber="1" minValue="0" maxValue="0.2"/>
    </cacheField>
    <cacheField name="Column11" numFmtId="0">
      <sharedItems containsMixedTypes="1" containsNumber="1" containsInteger="1" minValue="190" maxValue="299650" count="98">
        <n v="40500"/>
        <n v="39900"/>
        <n v="11760"/>
        <n v="56650"/>
        <n v="17620"/>
        <n v="22300"/>
        <n v="118750"/>
        <n v="1060"/>
        <n v="224040"/>
        <n v="8320"/>
        <n v="5460"/>
        <n v="6600"/>
        <n v="3840"/>
        <n v="299650"/>
        <n v="33690"/>
        <n v="2450"/>
        <n v="2240"/>
        <n v="190"/>
        <n v="2960"/>
        <n v="156570"/>
        <n v="1360"/>
        <n v="37230"/>
        <n v="1710"/>
        <n v="3040"/>
        <n v="1040"/>
        <n v="10440"/>
        <n v="870"/>
        <n v="19710"/>
        <n v="1540"/>
        <n v="13560"/>
        <n v="25480"/>
        <n v="8780"/>
        <n v="93450"/>
        <n v="235440"/>
        <n v="43150"/>
        <n v="269950"/>
        <n v="1420"/>
        <n v="19680"/>
        <n v="108020"/>
        <n v="25140"/>
        <n v="9330"/>
        <n v="114360"/>
        <n v="690"/>
        <n v="360"/>
        <n v="8070"/>
        <n v="9140"/>
        <n v="1980"/>
        <n v="173940"/>
        <n v="20400"/>
        <n v="4360"/>
        <n v="10390"/>
        <n v="6550"/>
        <n v="200"/>
        <n v="640"/>
        <n v="3560"/>
        <n v="1760"/>
        <n v="4400"/>
        <n v="3300"/>
        <n v="250"/>
        <n v="3230"/>
        <n v="69800"/>
        <n v="1590"/>
        <n v="2920"/>
        <n v="4870"/>
        <n v="53320"/>
        <n v="3440"/>
        <n v="52740"/>
        <n v="850"/>
        <n v="3000"/>
        <n v="12140"/>
        <n v="2490"/>
        <n v="9450"/>
        <n v="4300"/>
        <n v="27880"/>
        <n v="7000"/>
        <n v="7030"/>
        <n v="18080"/>
        <n v="31650"/>
        <n v="8800"/>
        <n v="34080"/>
        <n v="4680"/>
        <n v="38980"/>
        <n v="9440"/>
        <n v="12080"/>
        <n v="9280"/>
        <n v="19260"/>
        <n v="1150"/>
        <n v="26000"/>
        <n v="44360"/>
        <n v="1620"/>
        <n v="3130"/>
        <n v="14800"/>
        <n v="500"/>
        <n v="590"/>
        <n v="50180"/>
        <n v="6000"/>
        <n v="520"/>
        <s v="Gross_Sales"/>
      </sharedItems>
    </cacheField>
    <cacheField name="Column12" numFmtId="0">
      <sharedItems containsMixedTypes="1" containsNumber="1" minValue="0" maxValue="17394" count="82">
        <n v="0"/>
        <n v="7828.5"/>
        <n v="68"/>
        <n v="1861.5"/>
        <n v="85.5"/>
        <n v="152"/>
        <n v="52"/>
        <n v="522"/>
        <n v="43.5"/>
        <n v="985.5"/>
        <n v="77"/>
        <n v="678"/>
        <n v="1274"/>
        <n v="439"/>
        <n v="4672.5"/>
        <n v="11772"/>
        <n v="2157.5"/>
        <n v="13497.5"/>
        <n v="71"/>
        <n v="984"/>
        <n v="5401"/>
        <n v="1257"/>
        <n v="466.5"/>
        <n v="11436"/>
        <n v="69"/>
        <n v="36"/>
        <n v="807"/>
        <n v="914"/>
        <n v="198"/>
        <n v="17394"/>
        <n v="2040"/>
        <n v="436"/>
        <n v="1039"/>
        <n v="655"/>
        <n v="20"/>
        <n v="64"/>
        <n v="356"/>
        <n v="176"/>
        <n v="440"/>
        <n v="330"/>
        <n v="25"/>
        <n v="323"/>
        <n v="6980"/>
        <n v="159"/>
        <n v="292"/>
        <n v="487"/>
        <n v="96"/>
        <n v="156"/>
        <n v="7998"/>
        <n v="516"/>
        <n v="7911"/>
        <n v="127.5"/>
        <n v="450"/>
        <n v="1821"/>
        <n v="373.5"/>
        <n v="1417.5"/>
        <n v="645"/>
        <n v="4182"/>
        <n v="1050"/>
        <n v="1054.5"/>
        <n v="2712"/>
        <n v="4747.5"/>
        <n v="1320"/>
        <n v="6816"/>
        <n v="936"/>
        <n v="7796"/>
        <n v="1888"/>
        <n v="2416"/>
        <n v="1856"/>
        <n v="3852"/>
        <n v="230"/>
        <n v="5200"/>
        <n v="8872"/>
        <n v="324"/>
        <n v="626"/>
        <n v="2960"/>
        <n v="100"/>
        <n v="118"/>
        <n v="10036"/>
        <n v="1200"/>
        <n v="104"/>
        <s v="Discount_Amount"/>
      </sharedItems>
    </cacheField>
    <cacheField name="Column13" numFmtId="0">
      <sharedItems count="2">
        <s v="Column13"/>
        <s v="Net_Sales"/>
      </sharedItems>
    </cacheField>
    <cacheField name="Column14" numFmtId="0">
      <sharedItems count="4">
        <s v="Website"/>
        <s v="Marketplace"/>
        <s v="Mobile App"/>
        <s v="Sales_Channel"/>
      </sharedItems>
    </cacheField>
    <cacheField name="Column15" numFmtId="0">
      <sharedItems count="6">
        <s v="Cash on Delivery"/>
        <s v="UPI"/>
        <s v="Debit Card"/>
        <s v="Credit Card"/>
        <s v="Net Banking"/>
        <s v="Payment_Method"/>
      </sharedItems>
    </cacheField>
    <cacheField name="Column16" numFmtId="0">
      <sharedItems count="5">
        <s v="Delivered"/>
        <s v="Returned"/>
        <s v="Cancelled"/>
        <s v="Shipped"/>
        <s v="Order_Status"/>
      </sharedItems>
    </cacheField>
    <cacheField name="Column17" numFmtId="0">
      <sharedItems count="6">
        <s v="Chetan"/>
        <s v="Deepak"/>
        <s v="Aman"/>
        <s v="Bhavna"/>
        <s v="Esha"/>
        <s v="Salesperson"/>
      </sharedItems>
    </cacheField>
    <cacheField name="Column18" numFmtId="0">
      <sharedItems count="2">
        <s v="HIGH"/>
        <s v="SALE PERFOMANCE"/>
      </sharedItems>
    </cacheField>
    <cacheField name="Column19" numFmtId="0">
      <sharedItems count="2">
        <s v="High"/>
        <s v="Sales Classifica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x v="0"/>
    <x v="0"/>
    <x v="0"/>
    <x v="0"/>
    <x v="0"/>
    <x v="0"/>
    <x v="0"/>
    <n v="0"/>
    <x v="0"/>
    <x v="0"/>
    <x v="0"/>
    <x v="0"/>
    <x v="0"/>
    <x v="0"/>
    <x v="0"/>
    <x v="0"/>
    <x v="0"/>
  </r>
  <r>
    <x v="1"/>
    <x v="1"/>
    <x v="1"/>
    <x v="1"/>
    <x v="0"/>
    <x v="0"/>
    <x v="0"/>
    <x v="0"/>
    <x v="0"/>
    <n v="0"/>
    <x v="1"/>
    <x v="0"/>
    <x v="0"/>
    <x v="0"/>
    <x v="1"/>
    <x v="0"/>
    <x v="1"/>
    <x v="0"/>
    <x v="0"/>
  </r>
  <r>
    <x v="2"/>
    <x v="2"/>
    <x v="2"/>
    <x v="2"/>
    <x v="0"/>
    <x v="1"/>
    <x v="1"/>
    <x v="1"/>
    <x v="0"/>
    <n v="0"/>
    <x v="2"/>
    <x v="0"/>
    <x v="0"/>
    <x v="1"/>
    <x v="1"/>
    <x v="0"/>
    <x v="1"/>
    <x v="0"/>
    <x v="0"/>
  </r>
  <r>
    <x v="3"/>
    <x v="3"/>
    <x v="3"/>
    <x v="3"/>
    <x v="0"/>
    <x v="2"/>
    <x v="1"/>
    <x v="0"/>
    <x v="0"/>
    <n v="0"/>
    <x v="3"/>
    <x v="0"/>
    <x v="0"/>
    <x v="0"/>
    <x v="2"/>
    <x v="0"/>
    <x v="2"/>
    <x v="0"/>
    <x v="0"/>
  </r>
  <r>
    <x v="4"/>
    <x v="4"/>
    <x v="4"/>
    <x v="4"/>
    <x v="0"/>
    <x v="0"/>
    <x v="0"/>
    <x v="2"/>
    <x v="0"/>
    <n v="0"/>
    <x v="4"/>
    <x v="0"/>
    <x v="0"/>
    <x v="1"/>
    <x v="3"/>
    <x v="0"/>
    <x v="3"/>
    <x v="0"/>
    <x v="0"/>
  </r>
  <r>
    <x v="5"/>
    <x v="5"/>
    <x v="5"/>
    <x v="5"/>
    <x v="0"/>
    <x v="2"/>
    <x v="1"/>
    <x v="2"/>
    <x v="0"/>
    <n v="0"/>
    <x v="5"/>
    <x v="0"/>
    <x v="0"/>
    <x v="2"/>
    <x v="4"/>
    <x v="1"/>
    <x v="4"/>
    <x v="0"/>
    <x v="0"/>
  </r>
  <r>
    <x v="6"/>
    <x v="6"/>
    <x v="6"/>
    <x v="6"/>
    <x v="0"/>
    <x v="3"/>
    <x v="1"/>
    <x v="0"/>
    <x v="0"/>
    <n v="0"/>
    <x v="6"/>
    <x v="0"/>
    <x v="0"/>
    <x v="1"/>
    <x v="0"/>
    <x v="0"/>
    <x v="0"/>
    <x v="0"/>
    <x v="0"/>
  </r>
  <r>
    <x v="7"/>
    <x v="7"/>
    <x v="7"/>
    <x v="3"/>
    <x v="0"/>
    <x v="4"/>
    <x v="2"/>
    <x v="2"/>
    <x v="0"/>
    <n v="0"/>
    <x v="7"/>
    <x v="0"/>
    <x v="0"/>
    <x v="2"/>
    <x v="0"/>
    <x v="0"/>
    <x v="2"/>
    <x v="0"/>
    <x v="0"/>
  </r>
  <r>
    <x v="8"/>
    <x v="8"/>
    <x v="8"/>
    <x v="3"/>
    <x v="0"/>
    <x v="5"/>
    <x v="1"/>
    <x v="1"/>
    <x v="0"/>
    <n v="0"/>
    <x v="8"/>
    <x v="0"/>
    <x v="0"/>
    <x v="0"/>
    <x v="1"/>
    <x v="0"/>
    <x v="0"/>
    <x v="0"/>
    <x v="0"/>
  </r>
  <r>
    <x v="9"/>
    <x v="9"/>
    <x v="9"/>
    <x v="1"/>
    <x v="0"/>
    <x v="6"/>
    <x v="1"/>
    <x v="2"/>
    <x v="0"/>
    <n v="0"/>
    <x v="9"/>
    <x v="0"/>
    <x v="0"/>
    <x v="2"/>
    <x v="3"/>
    <x v="2"/>
    <x v="4"/>
    <x v="0"/>
    <x v="0"/>
  </r>
  <r>
    <x v="10"/>
    <x v="10"/>
    <x v="10"/>
    <x v="1"/>
    <x v="0"/>
    <x v="7"/>
    <x v="1"/>
    <x v="2"/>
    <x v="0"/>
    <n v="0"/>
    <x v="10"/>
    <x v="0"/>
    <x v="0"/>
    <x v="1"/>
    <x v="4"/>
    <x v="0"/>
    <x v="1"/>
    <x v="0"/>
    <x v="0"/>
  </r>
  <r>
    <x v="11"/>
    <x v="11"/>
    <x v="11"/>
    <x v="0"/>
    <x v="0"/>
    <x v="8"/>
    <x v="3"/>
    <x v="1"/>
    <x v="0"/>
    <n v="0"/>
    <x v="11"/>
    <x v="0"/>
    <x v="0"/>
    <x v="2"/>
    <x v="1"/>
    <x v="0"/>
    <x v="1"/>
    <x v="0"/>
    <x v="0"/>
  </r>
  <r>
    <x v="12"/>
    <x v="12"/>
    <x v="12"/>
    <x v="5"/>
    <x v="0"/>
    <x v="9"/>
    <x v="3"/>
    <x v="2"/>
    <x v="0"/>
    <n v="0"/>
    <x v="12"/>
    <x v="0"/>
    <x v="0"/>
    <x v="1"/>
    <x v="0"/>
    <x v="3"/>
    <x v="1"/>
    <x v="0"/>
    <x v="0"/>
  </r>
  <r>
    <x v="13"/>
    <x v="13"/>
    <x v="13"/>
    <x v="3"/>
    <x v="0"/>
    <x v="5"/>
    <x v="1"/>
    <x v="0"/>
    <x v="0"/>
    <n v="0"/>
    <x v="13"/>
    <x v="0"/>
    <x v="0"/>
    <x v="0"/>
    <x v="4"/>
    <x v="0"/>
    <x v="1"/>
    <x v="0"/>
    <x v="0"/>
  </r>
  <r>
    <x v="14"/>
    <x v="3"/>
    <x v="14"/>
    <x v="5"/>
    <x v="0"/>
    <x v="2"/>
    <x v="1"/>
    <x v="3"/>
    <x v="0"/>
    <n v="0"/>
    <x v="14"/>
    <x v="0"/>
    <x v="0"/>
    <x v="0"/>
    <x v="0"/>
    <x v="0"/>
    <x v="0"/>
    <x v="0"/>
    <x v="0"/>
  </r>
  <r>
    <x v="15"/>
    <x v="14"/>
    <x v="15"/>
    <x v="6"/>
    <x v="0"/>
    <x v="7"/>
    <x v="1"/>
    <x v="4"/>
    <x v="0"/>
    <n v="0"/>
    <x v="15"/>
    <x v="0"/>
    <x v="0"/>
    <x v="0"/>
    <x v="0"/>
    <x v="0"/>
    <x v="0"/>
    <x v="0"/>
    <x v="0"/>
  </r>
  <r>
    <x v="16"/>
    <x v="15"/>
    <x v="16"/>
    <x v="7"/>
    <x v="0"/>
    <x v="10"/>
    <x v="3"/>
    <x v="2"/>
    <x v="0"/>
    <n v="0"/>
    <x v="16"/>
    <x v="0"/>
    <x v="0"/>
    <x v="2"/>
    <x v="2"/>
    <x v="0"/>
    <x v="2"/>
    <x v="0"/>
    <x v="0"/>
  </r>
  <r>
    <x v="17"/>
    <x v="16"/>
    <x v="17"/>
    <x v="7"/>
    <x v="0"/>
    <x v="11"/>
    <x v="2"/>
    <x v="4"/>
    <x v="0"/>
    <n v="0"/>
    <x v="17"/>
    <x v="0"/>
    <x v="0"/>
    <x v="0"/>
    <x v="2"/>
    <x v="0"/>
    <x v="2"/>
    <x v="0"/>
    <x v="0"/>
  </r>
  <r>
    <x v="18"/>
    <x v="17"/>
    <x v="18"/>
    <x v="6"/>
    <x v="0"/>
    <x v="12"/>
    <x v="3"/>
    <x v="1"/>
    <x v="0"/>
    <n v="0"/>
    <x v="18"/>
    <x v="0"/>
    <x v="0"/>
    <x v="0"/>
    <x v="3"/>
    <x v="0"/>
    <x v="4"/>
    <x v="0"/>
    <x v="0"/>
  </r>
  <r>
    <x v="19"/>
    <x v="18"/>
    <x v="19"/>
    <x v="7"/>
    <x v="0"/>
    <x v="5"/>
    <x v="1"/>
    <x v="3"/>
    <x v="0"/>
    <n v="0.05"/>
    <x v="19"/>
    <x v="1"/>
    <x v="0"/>
    <x v="1"/>
    <x v="4"/>
    <x v="0"/>
    <x v="2"/>
    <x v="0"/>
    <x v="0"/>
  </r>
  <r>
    <x v="20"/>
    <x v="19"/>
    <x v="20"/>
    <x v="1"/>
    <x v="0"/>
    <x v="13"/>
    <x v="3"/>
    <x v="2"/>
    <x v="0"/>
    <n v="0.05"/>
    <x v="20"/>
    <x v="2"/>
    <x v="0"/>
    <x v="1"/>
    <x v="2"/>
    <x v="1"/>
    <x v="1"/>
    <x v="0"/>
    <x v="0"/>
  </r>
  <r>
    <x v="21"/>
    <x v="19"/>
    <x v="21"/>
    <x v="3"/>
    <x v="0"/>
    <x v="2"/>
    <x v="1"/>
    <x v="3"/>
    <x v="0"/>
    <n v="0.05"/>
    <x v="21"/>
    <x v="3"/>
    <x v="0"/>
    <x v="2"/>
    <x v="3"/>
    <x v="0"/>
    <x v="1"/>
    <x v="0"/>
    <x v="0"/>
  </r>
  <r>
    <x v="22"/>
    <x v="20"/>
    <x v="22"/>
    <x v="8"/>
    <x v="0"/>
    <x v="9"/>
    <x v="3"/>
    <x v="4"/>
    <x v="0"/>
    <n v="0.05"/>
    <x v="22"/>
    <x v="4"/>
    <x v="0"/>
    <x v="2"/>
    <x v="4"/>
    <x v="0"/>
    <x v="3"/>
    <x v="0"/>
    <x v="0"/>
  </r>
  <r>
    <x v="23"/>
    <x v="21"/>
    <x v="23"/>
    <x v="6"/>
    <x v="0"/>
    <x v="13"/>
    <x v="3"/>
    <x v="1"/>
    <x v="0"/>
    <n v="0.05"/>
    <x v="23"/>
    <x v="5"/>
    <x v="0"/>
    <x v="2"/>
    <x v="2"/>
    <x v="0"/>
    <x v="1"/>
    <x v="0"/>
    <x v="0"/>
  </r>
  <r>
    <x v="24"/>
    <x v="22"/>
    <x v="24"/>
    <x v="3"/>
    <x v="0"/>
    <x v="4"/>
    <x v="2"/>
    <x v="2"/>
    <x v="0"/>
    <n v="0.05"/>
    <x v="24"/>
    <x v="6"/>
    <x v="0"/>
    <x v="1"/>
    <x v="2"/>
    <x v="0"/>
    <x v="2"/>
    <x v="0"/>
    <x v="0"/>
  </r>
  <r>
    <x v="25"/>
    <x v="23"/>
    <x v="25"/>
    <x v="1"/>
    <x v="0"/>
    <x v="1"/>
    <x v="1"/>
    <x v="3"/>
    <x v="0"/>
    <n v="0.05"/>
    <x v="25"/>
    <x v="7"/>
    <x v="0"/>
    <x v="2"/>
    <x v="3"/>
    <x v="0"/>
    <x v="0"/>
    <x v="0"/>
    <x v="0"/>
  </r>
  <r>
    <x v="26"/>
    <x v="24"/>
    <x v="26"/>
    <x v="3"/>
    <x v="0"/>
    <x v="12"/>
    <x v="3"/>
    <x v="4"/>
    <x v="0"/>
    <n v="0.05"/>
    <x v="26"/>
    <x v="8"/>
    <x v="0"/>
    <x v="0"/>
    <x v="2"/>
    <x v="0"/>
    <x v="0"/>
    <x v="0"/>
    <x v="0"/>
  </r>
  <r>
    <x v="27"/>
    <x v="25"/>
    <x v="27"/>
    <x v="0"/>
    <x v="0"/>
    <x v="14"/>
    <x v="0"/>
    <x v="3"/>
    <x v="0"/>
    <n v="0.05"/>
    <x v="27"/>
    <x v="9"/>
    <x v="0"/>
    <x v="1"/>
    <x v="0"/>
    <x v="0"/>
    <x v="0"/>
    <x v="0"/>
    <x v="0"/>
  </r>
  <r>
    <x v="28"/>
    <x v="26"/>
    <x v="28"/>
    <x v="8"/>
    <x v="0"/>
    <x v="8"/>
    <x v="3"/>
    <x v="4"/>
    <x v="0"/>
    <n v="0.05"/>
    <x v="28"/>
    <x v="10"/>
    <x v="0"/>
    <x v="2"/>
    <x v="4"/>
    <x v="0"/>
    <x v="1"/>
    <x v="0"/>
    <x v="0"/>
  </r>
  <r>
    <x v="29"/>
    <x v="27"/>
    <x v="29"/>
    <x v="9"/>
    <x v="0"/>
    <x v="1"/>
    <x v="1"/>
    <x v="1"/>
    <x v="0"/>
    <n v="0.05"/>
    <x v="29"/>
    <x v="11"/>
    <x v="0"/>
    <x v="2"/>
    <x v="1"/>
    <x v="0"/>
    <x v="3"/>
    <x v="0"/>
    <x v="0"/>
  </r>
  <r>
    <x v="30"/>
    <x v="28"/>
    <x v="0"/>
    <x v="9"/>
    <x v="0"/>
    <x v="14"/>
    <x v="0"/>
    <x v="1"/>
    <x v="0"/>
    <n v="0.05"/>
    <x v="30"/>
    <x v="12"/>
    <x v="0"/>
    <x v="0"/>
    <x v="3"/>
    <x v="0"/>
    <x v="4"/>
    <x v="0"/>
    <x v="0"/>
  </r>
  <r>
    <x v="31"/>
    <x v="29"/>
    <x v="30"/>
    <x v="2"/>
    <x v="0"/>
    <x v="6"/>
    <x v="1"/>
    <x v="2"/>
    <x v="0"/>
    <n v="0.05"/>
    <x v="31"/>
    <x v="13"/>
    <x v="0"/>
    <x v="2"/>
    <x v="0"/>
    <x v="0"/>
    <x v="1"/>
    <x v="0"/>
    <x v="0"/>
  </r>
  <r>
    <x v="32"/>
    <x v="30"/>
    <x v="10"/>
    <x v="9"/>
    <x v="0"/>
    <x v="15"/>
    <x v="1"/>
    <x v="0"/>
    <x v="0"/>
    <n v="0.05"/>
    <x v="32"/>
    <x v="14"/>
    <x v="0"/>
    <x v="0"/>
    <x v="0"/>
    <x v="0"/>
    <x v="2"/>
    <x v="0"/>
    <x v="0"/>
  </r>
  <r>
    <x v="33"/>
    <x v="31"/>
    <x v="7"/>
    <x v="0"/>
    <x v="0"/>
    <x v="5"/>
    <x v="1"/>
    <x v="1"/>
    <x v="0"/>
    <n v="0.05"/>
    <x v="33"/>
    <x v="15"/>
    <x v="0"/>
    <x v="2"/>
    <x v="0"/>
    <x v="0"/>
    <x v="0"/>
    <x v="0"/>
    <x v="0"/>
  </r>
  <r>
    <x v="34"/>
    <x v="32"/>
    <x v="9"/>
    <x v="4"/>
    <x v="0"/>
    <x v="16"/>
    <x v="1"/>
    <x v="0"/>
    <x v="0"/>
    <n v="0.05"/>
    <x v="34"/>
    <x v="16"/>
    <x v="0"/>
    <x v="0"/>
    <x v="0"/>
    <x v="0"/>
    <x v="1"/>
    <x v="0"/>
    <x v="0"/>
  </r>
  <r>
    <x v="35"/>
    <x v="33"/>
    <x v="31"/>
    <x v="3"/>
    <x v="0"/>
    <x v="5"/>
    <x v="1"/>
    <x v="0"/>
    <x v="0"/>
    <n v="0.05"/>
    <x v="35"/>
    <x v="17"/>
    <x v="0"/>
    <x v="1"/>
    <x v="3"/>
    <x v="2"/>
    <x v="1"/>
    <x v="0"/>
    <x v="0"/>
  </r>
  <r>
    <x v="36"/>
    <x v="34"/>
    <x v="32"/>
    <x v="0"/>
    <x v="0"/>
    <x v="13"/>
    <x v="3"/>
    <x v="2"/>
    <x v="0"/>
    <n v="0.05"/>
    <x v="36"/>
    <x v="18"/>
    <x v="0"/>
    <x v="1"/>
    <x v="4"/>
    <x v="0"/>
    <x v="1"/>
    <x v="0"/>
    <x v="0"/>
  </r>
  <r>
    <x v="37"/>
    <x v="35"/>
    <x v="33"/>
    <x v="8"/>
    <x v="0"/>
    <x v="6"/>
    <x v="1"/>
    <x v="1"/>
    <x v="0"/>
    <n v="0.05"/>
    <x v="37"/>
    <x v="19"/>
    <x v="0"/>
    <x v="2"/>
    <x v="1"/>
    <x v="1"/>
    <x v="4"/>
    <x v="0"/>
    <x v="0"/>
  </r>
  <r>
    <x v="38"/>
    <x v="36"/>
    <x v="7"/>
    <x v="6"/>
    <x v="0"/>
    <x v="5"/>
    <x v="1"/>
    <x v="2"/>
    <x v="0"/>
    <n v="0.05"/>
    <x v="38"/>
    <x v="20"/>
    <x v="0"/>
    <x v="1"/>
    <x v="4"/>
    <x v="0"/>
    <x v="2"/>
    <x v="0"/>
    <x v="0"/>
  </r>
  <r>
    <x v="39"/>
    <x v="37"/>
    <x v="34"/>
    <x v="5"/>
    <x v="0"/>
    <x v="0"/>
    <x v="0"/>
    <x v="3"/>
    <x v="0"/>
    <n v="0.05"/>
    <x v="39"/>
    <x v="21"/>
    <x v="0"/>
    <x v="0"/>
    <x v="1"/>
    <x v="0"/>
    <x v="4"/>
    <x v="0"/>
    <x v="0"/>
  </r>
  <r>
    <x v="40"/>
    <x v="38"/>
    <x v="35"/>
    <x v="9"/>
    <x v="0"/>
    <x v="17"/>
    <x v="1"/>
    <x v="3"/>
    <x v="0"/>
    <n v="0.05"/>
    <x v="40"/>
    <x v="22"/>
    <x v="0"/>
    <x v="2"/>
    <x v="1"/>
    <x v="0"/>
    <x v="4"/>
    <x v="0"/>
    <x v="0"/>
  </r>
  <r>
    <x v="41"/>
    <x v="12"/>
    <x v="33"/>
    <x v="5"/>
    <x v="0"/>
    <x v="5"/>
    <x v="1"/>
    <x v="2"/>
    <x v="0"/>
    <n v="0.1"/>
    <x v="41"/>
    <x v="23"/>
    <x v="0"/>
    <x v="0"/>
    <x v="4"/>
    <x v="0"/>
    <x v="2"/>
    <x v="0"/>
    <x v="0"/>
  </r>
  <r>
    <x v="42"/>
    <x v="39"/>
    <x v="36"/>
    <x v="5"/>
    <x v="0"/>
    <x v="18"/>
    <x v="2"/>
    <x v="3"/>
    <x v="0"/>
    <n v="0.1"/>
    <x v="42"/>
    <x v="24"/>
    <x v="0"/>
    <x v="1"/>
    <x v="3"/>
    <x v="0"/>
    <x v="4"/>
    <x v="0"/>
    <x v="0"/>
  </r>
  <r>
    <x v="43"/>
    <x v="35"/>
    <x v="37"/>
    <x v="5"/>
    <x v="0"/>
    <x v="11"/>
    <x v="2"/>
    <x v="2"/>
    <x v="0"/>
    <n v="0.1"/>
    <x v="43"/>
    <x v="25"/>
    <x v="0"/>
    <x v="1"/>
    <x v="2"/>
    <x v="0"/>
    <x v="4"/>
    <x v="0"/>
    <x v="0"/>
  </r>
  <r>
    <x v="44"/>
    <x v="13"/>
    <x v="38"/>
    <x v="4"/>
    <x v="0"/>
    <x v="7"/>
    <x v="1"/>
    <x v="3"/>
    <x v="0"/>
    <n v="0.1"/>
    <x v="44"/>
    <x v="26"/>
    <x v="0"/>
    <x v="0"/>
    <x v="4"/>
    <x v="0"/>
    <x v="2"/>
    <x v="0"/>
    <x v="0"/>
  </r>
  <r>
    <x v="45"/>
    <x v="40"/>
    <x v="39"/>
    <x v="2"/>
    <x v="0"/>
    <x v="0"/>
    <x v="0"/>
    <x v="4"/>
    <x v="0"/>
    <n v="0.1"/>
    <x v="45"/>
    <x v="27"/>
    <x v="0"/>
    <x v="1"/>
    <x v="0"/>
    <x v="0"/>
    <x v="2"/>
    <x v="0"/>
    <x v="0"/>
  </r>
  <r>
    <x v="46"/>
    <x v="11"/>
    <x v="40"/>
    <x v="1"/>
    <x v="0"/>
    <x v="13"/>
    <x v="3"/>
    <x v="3"/>
    <x v="0"/>
    <n v="0.1"/>
    <x v="46"/>
    <x v="28"/>
    <x v="0"/>
    <x v="1"/>
    <x v="4"/>
    <x v="0"/>
    <x v="0"/>
    <x v="0"/>
    <x v="0"/>
  </r>
  <r>
    <x v="47"/>
    <x v="41"/>
    <x v="41"/>
    <x v="4"/>
    <x v="0"/>
    <x v="5"/>
    <x v="1"/>
    <x v="3"/>
    <x v="0"/>
    <n v="0.1"/>
    <x v="47"/>
    <x v="29"/>
    <x v="0"/>
    <x v="1"/>
    <x v="1"/>
    <x v="0"/>
    <x v="2"/>
    <x v="0"/>
    <x v="0"/>
  </r>
  <r>
    <x v="48"/>
    <x v="42"/>
    <x v="22"/>
    <x v="7"/>
    <x v="0"/>
    <x v="6"/>
    <x v="1"/>
    <x v="0"/>
    <x v="0"/>
    <n v="0.1"/>
    <x v="48"/>
    <x v="30"/>
    <x v="0"/>
    <x v="0"/>
    <x v="2"/>
    <x v="0"/>
    <x v="0"/>
    <x v="0"/>
    <x v="0"/>
  </r>
  <r>
    <x v="49"/>
    <x v="43"/>
    <x v="25"/>
    <x v="2"/>
    <x v="0"/>
    <x v="10"/>
    <x v="3"/>
    <x v="1"/>
    <x v="0"/>
    <n v="0.1"/>
    <x v="49"/>
    <x v="31"/>
    <x v="0"/>
    <x v="0"/>
    <x v="1"/>
    <x v="2"/>
    <x v="1"/>
    <x v="0"/>
    <x v="0"/>
  </r>
  <r>
    <x v="50"/>
    <x v="44"/>
    <x v="42"/>
    <x v="0"/>
    <x v="0"/>
    <x v="16"/>
    <x v="1"/>
    <x v="4"/>
    <x v="0"/>
    <n v="0.1"/>
    <x v="50"/>
    <x v="32"/>
    <x v="0"/>
    <x v="2"/>
    <x v="1"/>
    <x v="0"/>
    <x v="2"/>
    <x v="0"/>
    <x v="0"/>
  </r>
  <r>
    <x v="51"/>
    <x v="45"/>
    <x v="43"/>
    <x v="5"/>
    <x v="0"/>
    <x v="10"/>
    <x v="3"/>
    <x v="0"/>
    <x v="0"/>
    <n v="0.1"/>
    <x v="51"/>
    <x v="33"/>
    <x v="0"/>
    <x v="1"/>
    <x v="2"/>
    <x v="0"/>
    <x v="1"/>
    <x v="0"/>
    <x v="0"/>
  </r>
  <r>
    <x v="52"/>
    <x v="46"/>
    <x v="44"/>
    <x v="0"/>
    <x v="0"/>
    <x v="11"/>
    <x v="2"/>
    <x v="4"/>
    <x v="0"/>
    <n v="0.1"/>
    <x v="52"/>
    <x v="34"/>
    <x v="0"/>
    <x v="1"/>
    <x v="2"/>
    <x v="0"/>
    <x v="1"/>
    <x v="0"/>
    <x v="0"/>
  </r>
  <r>
    <x v="53"/>
    <x v="23"/>
    <x v="27"/>
    <x v="5"/>
    <x v="0"/>
    <x v="11"/>
    <x v="2"/>
    <x v="1"/>
    <x v="0"/>
    <n v="0.1"/>
    <x v="53"/>
    <x v="35"/>
    <x v="0"/>
    <x v="2"/>
    <x v="3"/>
    <x v="0"/>
    <x v="4"/>
    <x v="0"/>
    <x v="0"/>
  </r>
  <r>
    <x v="54"/>
    <x v="47"/>
    <x v="45"/>
    <x v="8"/>
    <x v="0"/>
    <x v="9"/>
    <x v="3"/>
    <x v="2"/>
    <x v="0"/>
    <n v="0.1"/>
    <x v="54"/>
    <x v="36"/>
    <x v="0"/>
    <x v="2"/>
    <x v="1"/>
    <x v="3"/>
    <x v="1"/>
    <x v="0"/>
    <x v="0"/>
  </r>
  <r>
    <x v="55"/>
    <x v="48"/>
    <x v="46"/>
    <x v="4"/>
    <x v="0"/>
    <x v="8"/>
    <x v="3"/>
    <x v="4"/>
    <x v="0"/>
    <n v="0.1"/>
    <x v="55"/>
    <x v="37"/>
    <x v="0"/>
    <x v="0"/>
    <x v="3"/>
    <x v="0"/>
    <x v="2"/>
    <x v="0"/>
    <x v="0"/>
  </r>
  <r>
    <x v="56"/>
    <x v="49"/>
    <x v="5"/>
    <x v="6"/>
    <x v="0"/>
    <x v="12"/>
    <x v="3"/>
    <x v="0"/>
    <x v="0"/>
    <n v="0.1"/>
    <x v="56"/>
    <x v="38"/>
    <x v="0"/>
    <x v="0"/>
    <x v="3"/>
    <x v="0"/>
    <x v="0"/>
    <x v="0"/>
    <x v="0"/>
  </r>
  <r>
    <x v="57"/>
    <x v="50"/>
    <x v="15"/>
    <x v="7"/>
    <x v="0"/>
    <x v="8"/>
    <x v="3"/>
    <x v="2"/>
    <x v="0"/>
    <n v="0.1"/>
    <x v="57"/>
    <x v="39"/>
    <x v="0"/>
    <x v="2"/>
    <x v="0"/>
    <x v="0"/>
    <x v="4"/>
    <x v="0"/>
    <x v="0"/>
  </r>
  <r>
    <x v="58"/>
    <x v="51"/>
    <x v="47"/>
    <x v="5"/>
    <x v="0"/>
    <x v="18"/>
    <x v="2"/>
    <x v="4"/>
    <x v="0"/>
    <n v="0.1"/>
    <x v="58"/>
    <x v="40"/>
    <x v="0"/>
    <x v="1"/>
    <x v="4"/>
    <x v="0"/>
    <x v="1"/>
    <x v="0"/>
    <x v="0"/>
  </r>
  <r>
    <x v="59"/>
    <x v="52"/>
    <x v="48"/>
    <x v="7"/>
    <x v="0"/>
    <x v="17"/>
    <x v="1"/>
    <x v="4"/>
    <x v="0"/>
    <n v="0.1"/>
    <x v="59"/>
    <x v="41"/>
    <x v="0"/>
    <x v="1"/>
    <x v="0"/>
    <x v="0"/>
    <x v="4"/>
    <x v="0"/>
    <x v="0"/>
  </r>
  <r>
    <x v="60"/>
    <x v="53"/>
    <x v="49"/>
    <x v="6"/>
    <x v="0"/>
    <x v="15"/>
    <x v="1"/>
    <x v="1"/>
    <x v="0"/>
    <n v="0.1"/>
    <x v="60"/>
    <x v="42"/>
    <x v="0"/>
    <x v="2"/>
    <x v="4"/>
    <x v="0"/>
    <x v="0"/>
    <x v="0"/>
    <x v="0"/>
  </r>
  <r>
    <x v="61"/>
    <x v="54"/>
    <x v="42"/>
    <x v="8"/>
    <x v="0"/>
    <x v="8"/>
    <x v="3"/>
    <x v="4"/>
    <x v="0"/>
    <n v="0.1"/>
    <x v="61"/>
    <x v="43"/>
    <x v="0"/>
    <x v="0"/>
    <x v="0"/>
    <x v="0"/>
    <x v="1"/>
    <x v="0"/>
    <x v="0"/>
  </r>
  <r>
    <x v="62"/>
    <x v="55"/>
    <x v="50"/>
    <x v="5"/>
    <x v="0"/>
    <x v="8"/>
    <x v="3"/>
    <x v="2"/>
    <x v="0"/>
    <n v="0.1"/>
    <x v="62"/>
    <x v="44"/>
    <x v="0"/>
    <x v="2"/>
    <x v="2"/>
    <x v="0"/>
    <x v="3"/>
    <x v="0"/>
    <x v="0"/>
  </r>
  <r>
    <x v="63"/>
    <x v="56"/>
    <x v="51"/>
    <x v="0"/>
    <x v="0"/>
    <x v="6"/>
    <x v="1"/>
    <x v="4"/>
    <x v="0"/>
    <n v="0.1"/>
    <x v="63"/>
    <x v="45"/>
    <x v="0"/>
    <x v="1"/>
    <x v="2"/>
    <x v="0"/>
    <x v="4"/>
    <x v="0"/>
    <x v="0"/>
  </r>
  <r>
    <x v="64"/>
    <x v="4"/>
    <x v="52"/>
    <x v="8"/>
    <x v="0"/>
    <x v="13"/>
    <x v="3"/>
    <x v="4"/>
    <x v="0"/>
    <n v="0.15"/>
    <x v="53"/>
    <x v="46"/>
    <x v="0"/>
    <x v="1"/>
    <x v="1"/>
    <x v="0"/>
    <x v="2"/>
    <x v="0"/>
    <x v="0"/>
  </r>
  <r>
    <x v="65"/>
    <x v="44"/>
    <x v="53"/>
    <x v="4"/>
    <x v="0"/>
    <x v="4"/>
    <x v="2"/>
    <x v="2"/>
    <x v="0"/>
    <n v="0.15"/>
    <x v="24"/>
    <x v="47"/>
    <x v="0"/>
    <x v="0"/>
    <x v="3"/>
    <x v="0"/>
    <x v="1"/>
    <x v="0"/>
    <x v="0"/>
  </r>
  <r>
    <x v="66"/>
    <x v="57"/>
    <x v="54"/>
    <x v="8"/>
    <x v="0"/>
    <x v="3"/>
    <x v="1"/>
    <x v="2"/>
    <x v="0"/>
    <n v="0.15"/>
    <x v="64"/>
    <x v="48"/>
    <x v="0"/>
    <x v="2"/>
    <x v="4"/>
    <x v="0"/>
    <x v="2"/>
    <x v="0"/>
    <x v="0"/>
  </r>
  <r>
    <x v="67"/>
    <x v="20"/>
    <x v="55"/>
    <x v="0"/>
    <x v="0"/>
    <x v="12"/>
    <x v="3"/>
    <x v="1"/>
    <x v="0"/>
    <n v="0.15"/>
    <x v="65"/>
    <x v="49"/>
    <x v="0"/>
    <x v="0"/>
    <x v="4"/>
    <x v="0"/>
    <x v="3"/>
    <x v="0"/>
    <x v="0"/>
  </r>
  <r>
    <x v="68"/>
    <x v="58"/>
    <x v="56"/>
    <x v="6"/>
    <x v="0"/>
    <x v="5"/>
    <x v="1"/>
    <x v="4"/>
    <x v="0"/>
    <n v="0.15"/>
    <x v="66"/>
    <x v="50"/>
    <x v="0"/>
    <x v="2"/>
    <x v="0"/>
    <x v="0"/>
    <x v="4"/>
    <x v="0"/>
    <x v="0"/>
  </r>
  <r>
    <x v="69"/>
    <x v="59"/>
    <x v="3"/>
    <x v="0"/>
    <x v="0"/>
    <x v="11"/>
    <x v="2"/>
    <x v="0"/>
    <x v="0"/>
    <n v="0.15"/>
    <x v="67"/>
    <x v="51"/>
    <x v="0"/>
    <x v="1"/>
    <x v="3"/>
    <x v="0"/>
    <x v="0"/>
    <x v="0"/>
    <x v="0"/>
  </r>
  <r>
    <x v="70"/>
    <x v="60"/>
    <x v="29"/>
    <x v="7"/>
    <x v="0"/>
    <x v="8"/>
    <x v="3"/>
    <x v="2"/>
    <x v="0"/>
    <n v="0.15"/>
    <x v="68"/>
    <x v="52"/>
    <x v="0"/>
    <x v="2"/>
    <x v="1"/>
    <x v="0"/>
    <x v="3"/>
    <x v="0"/>
    <x v="0"/>
  </r>
  <r>
    <x v="71"/>
    <x v="61"/>
    <x v="57"/>
    <x v="7"/>
    <x v="0"/>
    <x v="2"/>
    <x v="1"/>
    <x v="4"/>
    <x v="0"/>
    <n v="0.15"/>
    <x v="69"/>
    <x v="53"/>
    <x v="0"/>
    <x v="1"/>
    <x v="4"/>
    <x v="0"/>
    <x v="1"/>
    <x v="0"/>
    <x v="0"/>
  </r>
  <r>
    <x v="72"/>
    <x v="62"/>
    <x v="58"/>
    <x v="9"/>
    <x v="0"/>
    <x v="12"/>
    <x v="3"/>
    <x v="3"/>
    <x v="0"/>
    <n v="0.15"/>
    <x v="70"/>
    <x v="54"/>
    <x v="0"/>
    <x v="1"/>
    <x v="3"/>
    <x v="0"/>
    <x v="1"/>
    <x v="0"/>
    <x v="0"/>
  </r>
  <r>
    <x v="73"/>
    <x v="63"/>
    <x v="57"/>
    <x v="2"/>
    <x v="0"/>
    <x v="12"/>
    <x v="3"/>
    <x v="1"/>
    <x v="0"/>
    <n v="0.15"/>
    <x v="65"/>
    <x v="49"/>
    <x v="0"/>
    <x v="1"/>
    <x v="3"/>
    <x v="0"/>
    <x v="0"/>
    <x v="0"/>
    <x v="0"/>
  </r>
  <r>
    <x v="74"/>
    <x v="32"/>
    <x v="59"/>
    <x v="5"/>
    <x v="0"/>
    <x v="1"/>
    <x v="1"/>
    <x v="3"/>
    <x v="0"/>
    <n v="0.15"/>
    <x v="71"/>
    <x v="55"/>
    <x v="0"/>
    <x v="2"/>
    <x v="3"/>
    <x v="0"/>
    <x v="4"/>
    <x v="0"/>
    <x v="0"/>
  </r>
  <r>
    <x v="75"/>
    <x v="64"/>
    <x v="60"/>
    <x v="3"/>
    <x v="0"/>
    <x v="6"/>
    <x v="1"/>
    <x v="4"/>
    <x v="0"/>
    <n v="0.15"/>
    <x v="72"/>
    <x v="56"/>
    <x v="0"/>
    <x v="0"/>
    <x v="2"/>
    <x v="2"/>
    <x v="0"/>
    <x v="0"/>
    <x v="0"/>
  </r>
  <r>
    <x v="76"/>
    <x v="20"/>
    <x v="61"/>
    <x v="1"/>
    <x v="0"/>
    <x v="19"/>
    <x v="1"/>
    <x v="1"/>
    <x v="0"/>
    <n v="0.15"/>
    <x v="73"/>
    <x v="57"/>
    <x v="0"/>
    <x v="1"/>
    <x v="4"/>
    <x v="0"/>
    <x v="1"/>
    <x v="0"/>
    <x v="0"/>
  </r>
  <r>
    <x v="77"/>
    <x v="65"/>
    <x v="5"/>
    <x v="0"/>
    <x v="0"/>
    <x v="8"/>
    <x v="3"/>
    <x v="1"/>
    <x v="0"/>
    <n v="0.15"/>
    <x v="74"/>
    <x v="58"/>
    <x v="0"/>
    <x v="0"/>
    <x v="2"/>
    <x v="0"/>
    <x v="3"/>
    <x v="0"/>
    <x v="0"/>
  </r>
  <r>
    <x v="78"/>
    <x v="66"/>
    <x v="62"/>
    <x v="4"/>
    <x v="0"/>
    <x v="19"/>
    <x v="1"/>
    <x v="4"/>
    <x v="0"/>
    <n v="0.15"/>
    <x v="75"/>
    <x v="59"/>
    <x v="0"/>
    <x v="1"/>
    <x v="2"/>
    <x v="2"/>
    <x v="3"/>
    <x v="0"/>
    <x v="0"/>
  </r>
  <r>
    <x v="79"/>
    <x v="67"/>
    <x v="33"/>
    <x v="3"/>
    <x v="0"/>
    <x v="16"/>
    <x v="1"/>
    <x v="2"/>
    <x v="0"/>
    <n v="0.15"/>
    <x v="76"/>
    <x v="60"/>
    <x v="0"/>
    <x v="2"/>
    <x v="1"/>
    <x v="0"/>
    <x v="3"/>
    <x v="0"/>
    <x v="0"/>
  </r>
  <r>
    <x v="80"/>
    <x v="68"/>
    <x v="63"/>
    <x v="9"/>
    <x v="0"/>
    <x v="14"/>
    <x v="0"/>
    <x v="0"/>
    <x v="0"/>
    <n v="0.15"/>
    <x v="77"/>
    <x v="61"/>
    <x v="0"/>
    <x v="2"/>
    <x v="2"/>
    <x v="0"/>
    <x v="4"/>
    <x v="0"/>
    <x v="0"/>
  </r>
  <r>
    <x v="81"/>
    <x v="69"/>
    <x v="64"/>
    <x v="8"/>
    <x v="0"/>
    <x v="0"/>
    <x v="0"/>
    <x v="4"/>
    <x v="0"/>
    <n v="0.15"/>
    <x v="78"/>
    <x v="62"/>
    <x v="0"/>
    <x v="1"/>
    <x v="3"/>
    <x v="0"/>
    <x v="2"/>
    <x v="0"/>
    <x v="0"/>
  </r>
  <r>
    <x v="82"/>
    <x v="69"/>
    <x v="41"/>
    <x v="4"/>
    <x v="0"/>
    <x v="15"/>
    <x v="1"/>
    <x v="2"/>
    <x v="0"/>
    <n v="0.2"/>
    <x v="79"/>
    <x v="63"/>
    <x v="0"/>
    <x v="0"/>
    <x v="4"/>
    <x v="0"/>
    <x v="4"/>
    <x v="0"/>
    <x v="0"/>
  </r>
  <r>
    <x v="83"/>
    <x v="70"/>
    <x v="65"/>
    <x v="9"/>
    <x v="0"/>
    <x v="10"/>
    <x v="3"/>
    <x v="1"/>
    <x v="0"/>
    <n v="0.2"/>
    <x v="80"/>
    <x v="64"/>
    <x v="0"/>
    <x v="0"/>
    <x v="2"/>
    <x v="0"/>
    <x v="1"/>
    <x v="0"/>
    <x v="0"/>
  </r>
  <r>
    <x v="84"/>
    <x v="71"/>
    <x v="66"/>
    <x v="5"/>
    <x v="0"/>
    <x v="15"/>
    <x v="1"/>
    <x v="2"/>
    <x v="0"/>
    <n v="0.2"/>
    <x v="81"/>
    <x v="65"/>
    <x v="0"/>
    <x v="2"/>
    <x v="4"/>
    <x v="0"/>
    <x v="3"/>
    <x v="0"/>
    <x v="0"/>
  </r>
  <r>
    <x v="85"/>
    <x v="24"/>
    <x v="4"/>
    <x v="5"/>
    <x v="0"/>
    <x v="6"/>
    <x v="1"/>
    <x v="2"/>
    <x v="0"/>
    <n v="0.2"/>
    <x v="82"/>
    <x v="66"/>
    <x v="0"/>
    <x v="2"/>
    <x v="2"/>
    <x v="0"/>
    <x v="3"/>
    <x v="0"/>
    <x v="0"/>
  </r>
  <r>
    <x v="86"/>
    <x v="2"/>
    <x v="26"/>
    <x v="8"/>
    <x v="0"/>
    <x v="17"/>
    <x v="1"/>
    <x v="1"/>
    <x v="0"/>
    <n v="0.2"/>
    <x v="83"/>
    <x v="67"/>
    <x v="0"/>
    <x v="2"/>
    <x v="2"/>
    <x v="2"/>
    <x v="2"/>
    <x v="0"/>
    <x v="0"/>
  </r>
  <r>
    <x v="87"/>
    <x v="72"/>
    <x v="67"/>
    <x v="3"/>
    <x v="0"/>
    <x v="6"/>
    <x v="1"/>
    <x v="2"/>
    <x v="0"/>
    <n v="0.2"/>
    <x v="84"/>
    <x v="68"/>
    <x v="0"/>
    <x v="0"/>
    <x v="0"/>
    <x v="0"/>
    <x v="3"/>
    <x v="0"/>
    <x v="0"/>
  </r>
  <r>
    <x v="88"/>
    <x v="73"/>
    <x v="3"/>
    <x v="5"/>
    <x v="0"/>
    <x v="14"/>
    <x v="0"/>
    <x v="3"/>
    <x v="0"/>
    <n v="0.2"/>
    <x v="85"/>
    <x v="69"/>
    <x v="0"/>
    <x v="2"/>
    <x v="1"/>
    <x v="0"/>
    <x v="4"/>
    <x v="0"/>
    <x v="0"/>
  </r>
  <r>
    <x v="89"/>
    <x v="74"/>
    <x v="48"/>
    <x v="7"/>
    <x v="0"/>
    <x v="18"/>
    <x v="2"/>
    <x v="0"/>
    <x v="0"/>
    <n v="0.2"/>
    <x v="86"/>
    <x v="70"/>
    <x v="0"/>
    <x v="0"/>
    <x v="4"/>
    <x v="0"/>
    <x v="1"/>
    <x v="0"/>
    <x v="0"/>
  </r>
  <r>
    <x v="90"/>
    <x v="15"/>
    <x v="37"/>
    <x v="4"/>
    <x v="0"/>
    <x v="19"/>
    <x v="1"/>
    <x v="1"/>
    <x v="0"/>
    <n v="0.2"/>
    <x v="87"/>
    <x v="71"/>
    <x v="0"/>
    <x v="0"/>
    <x v="1"/>
    <x v="0"/>
    <x v="4"/>
    <x v="0"/>
    <x v="0"/>
  </r>
  <r>
    <x v="91"/>
    <x v="75"/>
    <x v="68"/>
    <x v="7"/>
    <x v="0"/>
    <x v="2"/>
    <x v="1"/>
    <x v="1"/>
    <x v="0"/>
    <n v="0.2"/>
    <x v="88"/>
    <x v="72"/>
    <x v="0"/>
    <x v="0"/>
    <x v="4"/>
    <x v="0"/>
    <x v="4"/>
    <x v="0"/>
    <x v="0"/>
  </r>
  <r>
    <x v="92"/>
    <x v="9"/>
    <x v="69"/>
    <x v="6"/>
    <x v="0"/>
    <x v="9"/>
    <x v="3"/>
    <x v="4"/>
    <x v="0"/>
    <n v="0.2"/>
    <x v="89"/>
    <x v="73"/>
    <x v="0"/>
    <x v="0"/>
    <x v="0"/>
    <x v="1"/>
    <x v="0"/>
    <x v="0"/>
    <x v="0"/>
  </r>
  <r>
    <x v="93"/>
    <x v="76"/>
    <x v="70"/>
    <x v="1"/>
    <x v="0"/>
    <x v="1"/>
    <x v="1"/>
    <x v="4"/>
    <x v="0"/>
    <n v="0.2"/>
    <x v="90"/>
    <x v="74"/>
    <x v="0"/>
    <x v="1"/>
    <x v="0"/>
    <x v="0"/>
    <x v="3"/>
    <x v="0"/>
    <x v="0"/>
  </r>
  <r>
    <x v="94"/>
    <x v="77"/>
    <x v="71"/>
    <x v="6"/>
    <x v="0"/>
    <x v="17"/>
    <x v="1"/>
    <x v="0"/>
    <x v="0"/>
    <n v="0.2"/>
    <x v="91"/>
    <x v="75"/>
    <x v="0"/>
    <x v="2"/>
    <x v="3"/>
    <x v="3"/>
    <x v="0"/>
    <x v="0"/>
    <x v="0"/>
  </r>
  <r>
    <x v="95"/>
    <x v="78"/>
    <x v="72"/>
    <x v="0"/>
    <x v="0"/>
    <x v="18"/>
    <x v="2"/>
    <x v="2"/>
    <x v="0"/>
    <n v="0.2"/>
    <x v="92"/>
    <x v="76"/>
    <x v="0"/>
    <x v="2"/>
    <x v="4"/>
    <x v="0"/>
    <x v="4"/>
    <x v="0"/>
    <x v="0"/>
  </r>
  <r>
    <x v="96"/>
    <x v="40"/>
    <x v="73"/>
    <x v="2"/>
    <x v="0"/>
    <x v="4"/>
    <x v="2"/>
    <x v="4"/>
    <x v="0"/>
    <n v="0.2"/>
    <x v="93"/>
    <x v="77"/>
    <x v="0"/>
    <x v="0"/>
    <x v="1"/>
    <x v="0"/>
    <x v="0"/>
    <x v="0"/>
    <x v="0"/>
  </r>
  <r>
    <x v="97"/>
    <x v="79"/>
    <x v="52"/>
    <x v="8"/>
    <x v="0"/>
    <x v="3"/>
    <x v="1"/>
    <x v="2"/>
    <x v="0"/>
    <n v="0.2"/>
    <x v="94"/>
    <x v="78"/>
    <x v="0"/>
    <x v="0"/>
    <x v="2"/>
    <x v="0"/>
    <x v="4"/>
    <x v="0"/>
    <x v="0"/>
  </r>
  <r>
    <x v="98"/>
    <x v="80"/>
    <x v="74"/>
    <x v="8"/>
    <x v="0"/>
    <x v="17"/>
    <x v="1"/>
    <x v="2"/>
    <x v="0"/>
    <n v="0.2"/>
    <x v="95"/>
    <x v="79"/>
    <x v="0"/>
    <x v="2"/>
    <x v="1"/>
    <x v="0"/>
    <x v="1"/>
    <x v="0"/>
    <x v="0"/>
  </r>
  <r>
    <x v="99"/>
    <x v="81"/>
    <x v="17"/>
    <x v="8"/>
    <x v="0"/>
    <x v="4"/>
    <x v="2"/>
    <x v="4"/>
    <x v="0"/>
    <n v="0.2"/>
    <x v="96"/>
    <x v="80"/>
    <x v="0"/>
    <x v="1"/>
    <x v="4"/>
    <x v="0"/>
    <x v="0"/>
    <x v="0"/>
    <x v="0"/>
  </r>
  <r>
    <x v="100"/>
    <x v="82"/>
    <x v="75"/>
    <x v="10"/>
    <x v="1"/>
    <x v="20"/>
    <x v="4"/>
    <x v="5"/>
    <x v="1"/>
    <s v="Discount_%"/>
    <x v="97"/>
    <x v="81"/>
    <x v="1"/>
    <x v="3"/>
    <x v="5"/>
    <x v="4"/>
    <x v="5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9BB18-86E2-4994-B5CB-FB05D93858A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L12:M19" firstHeaderRow="1" firstDataRow="1" firstDataCol="1"/>
  <pivotFields count="19">
    <pivotField showAll="0"/>
    <pivotField showAll="0"/>
    <pivotField showAll="0"/>
    <pivotField showAll="0">
      <items count="12">
        <item x="5"/>
        <item x="1"/>
        <item x="10"/>
        <item x="8"/>
        <item x="6"/>
        <item x="9"/>
        <item x="7"/>
        <item x="0"/>
        <item x="3"/>
        <item x="4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22">
        <item x="9"/>
        <item x="4"/>
        <item x="14"/>
        <item x="19"/>
        <item x="7"/>
        <item x="10"/>
        <item x="5"/>
        <item x="2"/>
        <item x="13"/>
        <item x="11"/>
        <item x="0"/>
        <item x="18"/>
        <item x="8"/>
        <item x="16"/>
        <item x="20"/>
        <item x="3"/>
        <item x="6"/>
        <item x="17"/>
        <item x="15"/>
        <item x="12"/>
        <item x="1"/>
        <item t="default"/>
      </items>
    </pivotField>
    <pivotField showAll="0">
      <items count="6">
        <item x="3"/>
        <item x="4"/>
        <item x="1"/>
        <item x="0"/>
        <item x="2"/>
        <item t="default"/>
      </items>
    </pivotField>
    <pivotField showAll="0">
      <items count="7">
        <item x="4"/>
        <item x="2"/>
        <item x="3"/>
        <item x="1"/>
        <item x="0"/>
        <item x="5"/>
        <item t="default"/>
      </items>
    </pivotField>
    <pivotField showAll="0"/>
    <pivotField showAll="0"/>
    <pivotField showAll="0">
      <items count="99">
        <item x="17"/>
        <item x="52"/>
        <item x="58"/>
        <item x="43"/>
        <item x="92"/>
        <item x="96"/>
        <item x="93"/>
        <item x="53"/>
        <item x="42"/>
        <item x="67"/>
        <item x="26"/>
        <item x="24"/>
        <item x="7"/>
        <item x="86"/>
        <item x="20"/>
        <item x="36"/>
        <item x="28"/>
        <item x="61"/>
        <item x="89"/>
        <item x="22"/>
        <item x="55"/>
        <item x="46"/>
        <item x="16"/>
        <item x="15"/>
        <item x="70"/>
        <item x="62"/>
        <item x="18"/>
        <item x="68"/>
        <item x="23"/>
        <item x="90"/>
        <item x="59"/>
        <item x="57"/>
        <item x="65"/>
        <item x="54"/>
        <item x="12"/>
        <item x="72"/>
        <item x="49"/>
        <item x="56"/>
        <item x="80"/>
        <item x="63"/>
        <item x="10"/>
        <item x="95"/>
        <item x="51"/>
        <item x="11"/>
        <item x="74"/>
        <item x="75"/>
        <item x="44"/>
        <item x="9"/>
        <item x="31"/>
        <item x="78"/>
        <item x="45"/>
        <item x="84"/>
        <item x="40"/>
        <item x="82"/>
        <item x="71"/>
        <item x="50"/>
        <item x="25"/>
        <item x="2"/>
        <item x="83"/>
        <item x="69"/>
        <item x="29"/>
        <item x="91"/>
        <item x="4"/>
        <item x="76"/>
        <item x="85"/>
        <item x="37"/>
        <item x="27"/>
        <item x="48"/>
        <item x="5"/>
        <item x="39"/>
        <item x="30"/>
        <item x="87"/>
        <item x="73"/>
        <item x="77"/>
        <item x="14"/>
        <item x="79"/>
        <item x="21"/>
        <item x="81"/>
        <item x="1"/>
        <item x="0"/>
        <item x="34"/>
        <item x="88"/>
        <item x="94"/>
        <item x="66"/>
        <item x="64"/>
        <item x="3"/>
        <item x="60"/>
        <item x="32"/>
        <item x="38"/>
        <item x="41"/>
        <item x="6"/>
        <item x="19"/>
        <item x="47"/>
        <item x="8"/>
        <item x="33"/>
        <item x="35"/>
        <item x="13"/>
        <item x="97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7">
        <item x="2"/>
        <item x="3"/>
        <item x="0"/>
        <item x="1"/>
        <item x="4"/>
        <item x="5"/>
        <item t="default"/>
      </items>
    </pivotField>
    <pivotField showAll="0"/>
    <pivotField showAll="0">
      <items count="3">
        <item x="0"/>
        <item x="1"/>
        <item t="default"/>
      </items>
    </pivotField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olumn13" fld="12" subtotal="count" baseField="16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CF9D7-4613-454B-8E6C-F9696216C03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5" firstHeaderRow="1" firstDataRow="1" firstDataCol="1"/>
  <pivotFields count="19">
    <pivotField showAll="0">
      <items count="102">
        <item x="19"/>
        <item x="82"/>
        <item x="41"/>
        <item x="0"/>
        <item x="1"/>
        <item x="42"/>
        <item x="83"/>
        <item x="84"/>
        <item x="85"/>
        <item x="2"/>
        <item x="86"/>
        <item x="43"/>
        <item x="20"/>
        <item x="44"/>
        <item x="87"/>
        <item x="88"/>
        <item x="3"/>
        <item x="21"/>
        <item x="64"/>
        <item x="22"/>
        <item x="89"/>
        <item x="23"/>
        <item x="24"/>
        <item x="90"/>
        <item x="91"/>
        <item x="25"/>
        <item x="92"/>
        <item x="45"/>
        <item x="26"/>
        <item x="46"/>
        <item x="47"/>
        <item x="48"/>
        <item x="4"/>
        <item x="49"/>
        <item x="65"/>
        <item x="50"/>
        <item x="51"/>
        <item x="93"/>
        <item x="52"/>
        <item x="27"/>
        <item x="28"/>
        <item x="29"/>
        <item x="5"/>
        <item x="30"/>
        <item x="6"/>
        <item x="94"/>
        <item x="7"/>
        <item x="31"/>
        <item x="66"/>
        <item x="67"/>
        <item x="53"/>
        <item x="8"/>
        <item x="54"/>
        <item x="55"/>
        <item x="9"/>
        <item x="10"/>
        <item x="32"/>
        <item x="11"/>
        <item x="95"/>
        <item x="12"/>
        <item x="33"/>
        <item x="13"/>
        <item x="68"/>
        <item x="69"/>
        <item x="70"/>
        <item x="14"/>
        <item x="96"/>
        <item x="15"/>
        <item x="71"/>
        <item x="56"/>
        <item x="16"/>
        <item x="72"/>
        <item x="57"/>
        <item x="58"/>
        <item x="59"/>
        <item x="34"/>
        <item x="60"/>
        <item x="61"/>
        <item x="97"/>
        <item x="73"/>
        <item x="35"/>
        <item x="74"/>
        <item x="75"/>
        <item x="76"/>
        <item x="36"/>
        <item x="37"/>
        <item x="38"/>
        <item x="77"/>
        <item x="17"/>
        <item x="39"/>
        <item x="98"/>
        <item x="62"/>
        <item x="99"/>
        <item x="78"/>
        <item x="40"/>
        <item x="63"/>
        <item x="79"/>
        <item x="80"/>
        <item x="81"/>
        <item x="18"/>
        <item x="100"/>
        <item t="default"/>
      </items>
    </pivotField>
    <pivotField showAll="0">
      <items count="84">
        <item x="82"/>
        <item x="68"/>
        <item x="69"/>
        <item x="45"/>
        <item x="1"/>
        <item x="22"/>
        <item x="62"/>
        <item x="36"/>
        <item x="8"/>
        <item x="30"/>
        <item x="63"/>
        <item x="80"/>
        <item x="15"/>
        <item x="41"/>
        <item x="72"/>
        <item x="76"/>
        <item x="39"/>
        <item x="70"/>
        <item x="48"/>
        <item x="13"/>
        <item x="5"/>
        <item x="75"/>
        <item x="54"/>
        <item x="24"/>
        <item x="59"/>
        <item x="60"/>
        <item x="12"/>
        <item x="40"/>
        <item x="53"/>
        <item x="64"/>
        <item x="44"/>
        <item x="4"/>
        <item x="81"/>
        <item x="21"/>
        <item x="25"/>
        <item x="26"/>
        <item x="16"/>
        <item x="77"/>
        <item x="73"/>
        <item x="6"/>
        <item x="32"/>
        <item x="31"/>
        <item x="35"/>
        <item x="11"/>
        <item x="37"/>
        <item x="20"/>
        <item x="19"/>
        <item x="9"/>
        <item x="49"/>
        <item x="14"/>
        <item x="10"/>
        <item x="42"/>
        <item x="55"/>
        <item x="52"/>
        <item x="61"/>
        <item x="46"/>
        <item x="38"/>
        <item x="78"/>
        <item x="28"/>
        <item x="27"/>
        <item x="23"/>
        <item x="58"/>
        <item x="51"/>
        <item x="29"/>
        <item x="3"/>
        <item x="7"/>
        <item x="0"/>
        <item x="18"/>
        <item x="56"/>
        <item x="79"/>
        <item x="47"/>
        <item x="43"/>
        <item x="67"/>
        <item x="50"/>
        <item x="66"/>
        <item x="74"/>
        <item x="33"/>
        <item x="34"/>
        <item x="2"/>
        <item x="65"/>
        <item x="71"/>
        <item x="57"/>
        <item x="17"/>
        <item t="default"/>
      </items>
    </pivotField>
    <pivotField showAll="0"/>
    <pivotField axis="axisRow" showAll="0">
      <items count="12">
        <item x="5"/>
        <item x="1"/>
        <item x="10"/>
        <item x="8"/>
        <item x="6"/>
        <item x="9"/>
        <item x="7"/>
        <item x="0"/>
        <item x="3"/>
        <item x="4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">
        <item x="1"/>
        <item x="2"/>
        <item x="3"/>
        <item x="0"/>
        <item t="default"/>
      </items>
    </pivotField>
    <pivotField showAll="0"/>
    <pivotField showAll="0">
      <items count="6">
        <item x="2"/>
        <item x="0"/>
        <item x="4"/>
        <item x="1"/>
        <item x="3"/>
        <item t="default"/>
      </items>
    </pivotField>
    <pivotField showAll="0">
      <items count="7">
        <item x="2"/>
        <item x="3"/>
        <item x="0"/>
        <item x="1"/>
        <item x="4"/>
        <item x="5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Column14" fld="1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80027-22A7-441D-BB2A-60FADD1975D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9">
    <pivotField showAll="0"/>
    <pivotField dataField="1" showAll="0">
      <items count="84">
        <item x="82"/>
        <item x="68"/>
        <item x="69"/>
        <item x="45"/>
        <item x="1"/>
        <item x="22"/>
        <item x="62"/>
        <item x="36"/>
        <item x="8"/>
        <item x="30"/>
        <item x="63"/>
        <item x="80"/>
        <item x="15"/>
        <item x="41"/>
        <item x="72"/>
        <item x="76"/>
        <item x="39"/>
        <item x="70"/>
        <item x="48"/>
        <item x="13"/>
        <item x="5"/>
        <item x="75"/>
        <item x="54"/>
        <item x="24"/>
        <item x="59"/>
        <item x="60"/>
        <item x="12"/>
        <item x="40"/>
        <item x="53"/>
        <item x="64"/>
        <item x="44"/>
        <item x="4"/>
        <item x="81"/>
        <item x="21"/>
        <item x="25"/>
        <item x="26"/>
        <item x="16"/>
        <item x="77"/>
        <item x="73"/>
        <item x="6"/>
        <item x="32"/>
        <item x="31"/>
        <item x="35"/>
        <item x="11"/>
        <item x="37"/>
        <item x="20"/>
        <item x="19"/>
        <item x="9"/>
        <item x="49"/>
        <item x="14"/>
        <item x="10"/>
        <item x="42"/>
        <item x="55"/>
        <item x="52"/>
        <item x="61"/>
        <item x="46"/>
        <item x="38"/>
        <item x="78"/>
        <item x="28"/>
        <item x="27"/>
        <item x="23"/>
        <item x="58"/>
        <item x="51"/>
        <item x="29"/>
        <item x="3"/>
        <item x="7"/>
        <item x="0"/>
        <item x="18"/>
        <item x="56"/>
        <item x="79"/>
        <item x="47"/>
        <item x="43"/>
        <item x="67"/>
        <item x="50"/>
        <item x="66"/>
        <item x="74"/>
        <item x="33"/>
        <item x="34"/>
        <item x="2"/>
        <item x="65"/>
        <item x="71"/>
        <item x="57"/>
        <item x="17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showAll="0">
      <items count="83">
        <item x="0"/>
        <item x="34"/>
        <item x="40"/>
        <item x="25"/>
        <item x="8"/>
        <item x="6"/>
        <item x="35"/>
        <item x="2"/>
        <item x="24"/>
        <item x="18"/>
        <item x="10"/>
        <item x="4"/>
        <item x="46"/>
        <item x="76"/>
        <item x="80"/>
        <item x="77"/>
        <item x="51"/>
        <item x="5"/>
        <item x="47"/>
        <item x="43"/>
        <item x="37"/>
        <item x="28"/>
        <item x="70"/>
        <item x="44"/>
        <item x="41"/>
        <item x="73"/>
        <item x="39"/>
        <item x="36"/>
        <item x="54"/>
        <item x="31"/>
        <item x="13"/>
        <item x="38"/>
        <item x="52"/>
        <item x="22"/>
        <item x="45"/>
        <item x="49"/>
        <item x="7"/>
        <item x="74"/>
        <item x="56"/>
        <item x="33"/>
        <item x="11"/>
        <item x="26"/>
        <item x="27"/>
        <item x="64"/>
        <item x="19"/>
        <item x="9"/>
        <item x="32"/>
        <item x="58"/>
        <item x="59"/>
        <item x="79"/>
        <item x="21"/>
        <item x="12"/>
        <item x="62"/>
        <item x="55"/>
        <item x="53"/>
        <item x="68"/>
        <item x="3"/>
        <item x="66"/>
        <item x="30"/>
        <item x="16"/>
        <item x="67"/>
        <item x="60"/>
        <item x="75"/>
        <item x="69"/>
        <item x="57"/>
        <item x="14"/>
        <item x="61"/>
        <item x="71"/>
        <item x="20"/>
        <item x="63"/>
        <item x="42"/>
        <item x="65"/>
        <item x="1"/>
        <item x="50"/>
        <item x="48"/>
        <item x="72"/>
        <item x="78"/>
        <item x="23"/>
        <item x="15"/>
        <item x="17"/>
        <item x="29"/>
        <item x="8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7">
        <item x="2"/>
        <item x="3"/>
        <item x="0"/>
        <item x="1"/>
        <item x="4"/>
        <item x="5"/>
        <item t="default"/>
      </items>
    </pivotField>
    <pivotField showAll="0"/>
    <pivotField showAll="0">
      <items count="3">
        <item x="0"/>
        <item x="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olumn2" fld="1" subtotal="count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A9B7D5-675C-4D81-A5DD-A23E356B46E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O2:P24" firstHeaderRow="1" firstDataRow="1" firstDataCol="1"/>
  <pivotFields count="19">
    <pivotField showAll="0"/>
    <pivotField showAll="0"/>
    <pivotField showAll="0">
      <items count="77">
        <item x="54"/>
        <item x="11"/>
        <item x="68"/>
        <item x="35"/>
        <item x="32"/>
        <item x="46"/>
        <item x="15"/>
        <item x="65"/>
        <item x="40"/>
        <item x="61"/>
        <item x="33"/>
        <item x="36"/>
        <item x="69"/>
        <item x="48"/>
        <item x="16"/>
        <item x="9"/>
        <item x="73"/>
        <item x="52"/>
        <item x="6"/>
        <item x="31"/>
        <item x="75"/>
        <item x="28"/>
        <item x="67"/>
        <item x="57"/>
        <item x="5"/>
        <item x="23"/>
        <item x="27"/>
        <item x="42"/>
        <item x="55"/>
        <item x="39"/>
        <item x="72"/>
        <item x="64"/>
        <item x="41"/>
        <item x="24"/>
        <item x="59"/>
        <item x="19"/>
        <item x="29"/>
        <item x="60"/>
        <item x="20"/>
        <item x="37"/>
        <item x="49"/>
        <item x="2"/>
        <item x="34"/>
        <item x="71"/>
        <item x="13"/>
        <item x="18"/>
        <item x="10"/>
        <item x="17"/>
        <item x="62"/>
        <item x="1"/>
        <item x="44"/>
        <item x="63"/>
        <item x="0"/>
        <item x="26"/>
        <item x="8"/>
        <item x="66"/>
        <item x="51"/>
        <item x="25"/>
        <item x="12"/>
        <item x="53"/>
        <item x="3"/>
        <item x="21"/>
        <item x="56"/>
        <item x="38"/>
        <item x="4"/>
        <item x="50"/>
        <item x="43"/>
        <item x="30"/>
        <item x="70"/>
        <item x="22"/>
        <item x="58"/>
        <item x="74"/>
        <item x="7"/>
        <item x="45"/>
        <item x="14"/>
        <item x="47"/>
        <item t="default"/>
      </items>
    </pivotField>
    <pivotField showAll="0">
      <items count="12">
        <item x="5"/>
        <item x="1"/>
        <item x="10"/>
        <item x="8"/>
        <item x="6"/>
        <item x="9"/>
        <item x="7"/>
        <item x="0"/>
        <item x="3"/>
        <item x="4"/>
        <item x="2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22">
        <item x="9"/>
        <item x="4"/>
        <item x="14"/>
        <item x="19"/>
        <item x="7"/>
        <item x="10"/>
        <item x="5"/>
        <item x="2"/>
        <item x="13"/>
        <item x="11"/>
        <item x="0"/>
        <item x="18"/>
        <item x="8"/>
        <item x="16"/>
        <item x="20"/>
        <item x="3"/>
        <item x="6"/>
        <item x="17"/>
        <item x="15"/>
        <item x="1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dataField="1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showAll="0"/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Column16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A24992-6A65-48B5-ADC5-256D7EBFE1ED}" name="Table2" displayName="Table2" ref="M26:N31" totalsRowShown="0" headerRowDxfId="5">
  <autoFilter ref="M26:N31" xr:uid="{B4A24992-6A65-48B5-ADC5-256D7EBFE1ED}"/>
  <tableColumns count="2">
    <tableColumn id="1" xr3:uid="{2AE7BA3D-5470-44BC-8241-12B027967876}" name="STATE"/>
    <tableColumn id="2" xr3:uid="{300B6335-7594-4777-BD9A-BE4ABC06E97F}" name="SALES">
      <calculatedColumnFormula>SUMIF(Sales_Data!E:E,M27,Sales_Data!M:M)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B90F38-093C-4E89-BA1F-680FC263C9C7}" name="SalesData" displayName="SalesData" ref="A1:S102" totalsRowShown="0" headerRowDxfId="4" headerRowBorderDxfId="3" tableBorderDxfId="2">
  <autoFilter ref="A1:S102" xr:uid="{C1B90F38-093C-4E89-BA1F-680FC263C9C7}"/>
  <sortState xmlns:xlrd2="http://schemas.microsoft.com/office/spreadsheetml/2017/richdata2" ref="A2:S102">
    <sortCondition descending="1" ref="A2:A102"/>
  </sortState>
  <tableColumns count="19">
    <tableColumn id="1" xr3:uid="{B24BEACE-1C59-402F-A15B-91B304C26787}" name="Column1"/>
    <tableColumn id="2" xr3:uid="{FFC40E2C-0F20-4B64-B0B9-3C26B2CACF49}" name="Column2" dataDxfId="1"/>
    <tableColumn id="3" xr3:uid="{2CA078EF-15A7-4787-A770-CB4C3E54A917}" name="Column3"/>
    <tableColumn id="4" xr3:uid="{3F618819-97B9-44AF-923E-9E63918E08C3}" name="Column4"/>
    <tableColumn id="5" xr3:uid="{747F7713-CA6A-4A25-A2E3-FAD8092A4BCB}" name="Column5"/>
    <tableColumn id="6" xr3:uid="{946916A7-F19A-47B3-853B-59831E29683A}" name="Column6"/>
    <tableColumn id="7" xr3:uid="{3D2129AD-5E9D-4242-85A9-65DD40C6B98B}" name="Column7"/>
    <tableColumn id="8" xr3:uid="{CE60B88B-3C16-4CA1-A6CA-926FEE70F7F4}" name="Column8"/>
    <tableColumn id="9" xr3:uid="{2E7B55D3-48AE-4300-9FD7-7090FCCA2B31}" name="Column9"/>
    <tableColumn id="10" xr3:uid="{CA64E18E-0835-4AE1-A2C1-26401E64F7D4}" name="Column10"/>
    <tableColumn id="11" xr3:uid="{15D461EA-A363-4DE9-88A8-78F62F445D48}" name="Column11"/>
    <tableColumn id="12" xr3:uid="{C1568578-9AC4-43F2-A58E-FF4927BB0603}" name="Column12"/>
    <tableColumn id="13" xr3:uid="{7FCB4BC7-F3D7-4FF3-BF01-CF3E5E8B1894}" name="Column13"/>
    <tableColumn id="14" xr3:uid="{AEAC54E8-3FBE-40CD-B9F4-85F8C992BD7B}" name="Column14"/>
    <tableColumn id="15" xr3:uid="{A14F381D-004C-4942-9E9D-C0486F06AF34}" name="Column15"/>
    <tableColumn id="16" xr3:uid="{497E3C2C-9324-4BF0-B9FF-3E951E374E37}" name="Column16"/>
    <tableColumn id="17" xr3:uid="{035D1BA7-9558-4E51-845B-C751283D10B2}" name="Column17"/>
    <tableColumn id="18" xr3:uid="{21C946D0-5CC0-4889-A4C2-F78565617BF7}" name="Column18"/>
    <tableColumn id="19" xr3:uid="{A44C1FBB-B8EE-43FD-A590-108C4E1C7E2E}" name="Column1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6271-B985-463F-97C1-C5C21934DD45}">
  <dimension ref="A3:N31"/>
  <sheetViews>
    <sheetView tabSelected="1" topLeftCell="A16" workbookViewId="0">
      <selection activeCell="F33" sqref="F33"/>
    </sheetView>
  </sheetViews>
  <sheetFormatPr defaultRowHeight="15" x14ac:dyDescent="0.25"/>
  <cols>
    <col min="1" max="1" width="13.140625" bestFit="1" customWidth="1"/>
    <col min="2" max="2" width="18.140625" bestFit="1" customWidth="1"/>
    <col min="12" max="12" width="13.140625" bestFit="1" customWidth="1"/>
    <col min="13" max="13" width="18.140625" bestFit="1" customWidth="1"/>
  </cols>
  <sheetData>
    <row r="3" spans="1:13" x14ac:dyDescent="0.25">
      <c r="A3" s="8" t="s">
        <v>265</v>
      </c>
      <c r="B3" t="s">
        <v>267</v>
      </c>
    </row>
    <row r="4" spans="1:13" x14ac:dyDescent="0.25">
      <c r="A4" s="9" t="s">
        <v>35</v>
      </c>
      <c r="B4">
        <v>15</v>
      </c>
    </row>
    <row r="5" spans="1:13" x14ac:dyDescent="0.25">
      <c r="A5" s="9" t="s">
        <v>45</v>
      </c>
      <c r="B5">
        <v>8</v>
      </c>
    </row>
    <row r="6" spans="1:13" x14ac:dyDescent="0.25">
      <c r="A6" s="9" t="s">
        <v>3</v>
      </c>
      <c r="B6">
        <v>1</v>
      </c>
    </row>
    <row r="7" spans="1:13" x14ac:dyDescent="0.25">
      <c r="A7" s="9" t="s">
        <v>72</v>
      </c>
      <c r="B7">
        <v>12</v>
      </c>
    </row>
    <row r="8" spans="1:13" x14ac:dyDescent="0.25">
      <c r="A8" s="9" t="s">
        <v>104</v>
      </c>
      <c r="B8">
        <v>10</v>
      </c>
    </row>
    <row r="9" spans="1:13" x14ac:dyDescent="0.25">
      <c r="A9" s="9" t="s">
        <v>55</v>
      </c>
      <c r="B9">
        <v>7</v>
      </c>
    </row>
    <row r="10" spans="1:13" x14ac:dyDescent="0.25">
      <c r="A10" s="9" t="s">
        <v>19</v>
      </c>
      <c r="B10">
        <v>10</v>
      </c>
    </row>
    <row r="11" spans="1:13" x14ac:dyDescent="0.25">
      <c r="A11" s="9" t="s">
        <v>38</v>
      </c>
      <c r="B11">
        <v>12</v>
      </c>
    </row>
    <row r="12" spans="1:13" x14ac:dyDescent="0.25">
      <c r="A12" s="9" t="s">
        <v>87</v>
      </c>
      <c r="B12">
        <v>11</v>
      </c>
      <c r="L12" s="8" t="s">
        <v>265</v>
      </c>
      <c r="M12" t="s">
        <v>268</v>
      </c>
    </row>
    <row r="13" spans="1:13" x14ac:dyDescent="0.25">
      <c r="A13" s="9" t="s">
        <v>29</v>
      </c>
      <c r="B13">
        <v>9</v>
      </c>
      <c r="L13" s="9" t="s">
        <v>26</v>
      </c>
      <c r="M13">
        <v>18</v>
      </c>
    </row>
    <row r="14" spans="1:13" x14ac:dyDescent="0.25">
      <c r="A14" s="9" t="s">
        <v>68</v>
      </c>
      <c r="B14">
        <v>6</v>
      </c>
      <c r="L14" s="9" t="s">
        <v>62</v>
      </c>
      <c r="M14">
        <v>13</v>
      </c>
    </row>
    <row r="15" spans="1:13" x14ac:dyDescent="0.25">
      <c r="A15" s="9" t="s">
        <v>266</v>
      </c>
      <c r="B15">
        <v>101</v>
      </c>
      <c r="L15" s="9" t="s">
        <v>42</v>
      </c>
      <c r="M15">
        <v>20</v>
      </c>
    </row>
    <row r="16" spans="1:13" x14ac:dyDescent="0.25">
      <c r="L16" s="9" t="s">
        <v>47</v>
      </c>
      <c r="M16">
        <v>27</v>
      </c>
    </row>
    <row r="17" spans="12:14" x14ac:dyDescent="0.25">
      <c r="L17" s="9" t="s">
        <v>32</v>
      </c>
      <c r="M17">
        <v>22</v>
      </c>
    </row>
    <row r="18" spans="12:14" x14ac:dyDescent="0.25">
      <c r="L18" s="9" t="s">
        <v>16</v>
      </c>
      <c r="M18">
        <v>1</v>
      </c>
    </row>
    <row r="19" spans="12:14" x14ac:dyDescent="0.25">
      <c r="L19" s="9" t="s">
        <v>266</v>
      </c>
      <c r="M19">
        <v>101</v>
      </c>
    </row>
    <row r="26" spans="12:14" x14ac:dyDescent="0.25">
      <c r="M26" s="5" t="s">
        <v>270</v>
      </c>
      <c r="N26" s="5" t="s">
        <v>271</v>
      </c>
    </row>
    <row r="27" spans="12:14" x14ac:dyDescent="0.25">
      <c r="M27" t="s">
        <v>20</v>
      </c>
      <c r="N27">
        <f>SUMIF(Sales_Data!E:E,M27,Sales_Data!M:M)</f>
        <v>1280588</v>
      </c>
    </row>
    <row r="28" spans="12:14" x14ac:dyDescent="0.25">
      <c r="M28" t="s">
        <v>72</v>
      </c>
      <c r="N28">
        <f>SUMIF(Sales_Data!E:E,M28,Sales_Data!M:M)</f>
        <v>134788.5</v>
      </c>
    </row>
    <row r="29" spans="12:14" x14ac:dyDescent="0.25">
      <c r="M29" t="s">
        <v>272</v>
      </c>
      <c r="N29">
        <f>SUMIF(Sales_Data!E:E,M29,Sales_Data!M:M)</f>
        <v>354412</v>
      </c>
    </row>
    <row r="30" spans="12:14" x14ac:dyDescent="0.25">
      <c r="M30" t="s">
        <v>273</v>
      </c>
      <c r="N30">
        <f>SUMIF(Sales_Data!E:E,M30,Sales_Data!M:M)</f>
        <v>901482.5</v>
      </c>
    </row>
    <row r="31" spans="12:14" x14ac:dyDescent="0.25">
      <c r="M31" t="s">
        <v>274</v>
      </c>
      <c r="N31">
        <f>SUMIF(Sales_Data!E:E,M31,Sales_Data!M:M)</f>
        <v>92874</v>
      </c>
    </row>
  </sheetData>
  <phoneticPr fontId="4" type="noConversion"/>
  <pageMargins left="0.7" right="0.7" top="0.75" bottom="0.75" header="0.3" footer="0.3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F0DA7-F4B3-467B-A4A1-5C007E77D7AB}">
  <dimension ref="A2:P24"/>
  <sheetViews>
    <sheetView topLeftCell="A4" workbookViewId="0">
      <selection activeCell="H23" sqref="H23"/>
    </sheetView>
  </sheetViews>
  <sheetFormatPr defaultRowHeight="15" x14ac:dyDescent="0.25"/>
  <cols>
    <col min="1" max="1" width="13.140625" bestFit="1" customWidth="1"/>
    <col min="2" max="2" width="17" bestFit="1" customWidth="1"/>
    <col min="15" max="15" width="13.140625" bestFit="1" customWidth="1"/>
    <col min="16" max="16" width="18.140625" bestFit="1" customWidth="1"/>
  </cols>
  <sheetData>
    <row r="2" spans="1:16" x14ac:dyDescent="0.25">
      <c r="O2" s="8" t="s">
        <v>265</v>
      </c>
      <c r="P2" t="s">
        <v>275</v>
      </c>
    </row>
    <row r="3" spans="1:16" x14ac:dyDescent="0.25">
      <c r="A3" s="8" t="s">
        <v>265</v>
      </c>
      <c r="B3" t="s">
        <v>269</v>
      </c>
      <c r="O3" s="9" t="s">
        <v>99</v>
      </c>
      <c r="P3">
        <v>4</v>
      </c>
    </row>
    <row r="4" spans="1:16" x14ac:dyDescent="0.25">
      <c r="A4" s="9" t="s">
        <v>57</v>
      </c>
      <c r="B4">
        <v>27</v>
      </c>
      <c r="O4" s="9" t="s">
        <v>107</v>
      </c>
      <c r="P4">
        <v>5</v>
      </c>
    </row>
    <row r="5" spans="1:16" x14ac:dyDescent="0.25">
      <c r="A5" s="9" t="s">
        <v>6</v>
      </c>
      <c r="B5">
        <v>1</v>
      </c>
      <c r="O5" s="9" t="s">
        <v>90</v>
      </c>
      <c r="P5">
        <v>4</v>
      </c>
    </row>
    <row r="6" spans="1:16" x14ac:dyDescent="0.25">
      <c r="A6" s="9" t="s">
        <v>22</v>
      </c>
      <c r="B6">
        <v>49</v>
      </c>
      <c r="O6" s="9" t="s">
        <v>109</v>
      </c>
      <c r="P6">
        <v>3</v>
      </c>
    </row>
    <row r="7" spans="1:16" x14ac:dyDescent="0.25">
      <c r="A7" s="9" t="s">
        <v>40</v>
      </c>
      <c r="B7">
        <v>10</v>
      </c>
      <c r="O7" s="9" t="s">
        <v>84</v>
      </c>
      <c r="P7">
        <v>3</v>
      </c>
    </row>
    <row r="8" spans="1:16" x14ac:dyDescent="0.25">
      <c r="A8" s="9" t="s">
        <v>51</v>
      </c>
      <c r="B8">
        <v>14</v>
      </c>
      <c r="O8" s="9" t="s">
        <v>56</v>
      </c>
      <c r="P8">
        <v>4</v>
      </c>
    </row>
    <row r="9" spans="1:16" x14ac:dyDescent="0.25">
      <c r="A9" s="9" t="s">
        <v>266</v>
      </c>
      <c r="B9">
        <v>101</v>
      </c>
      <c r="O9" s="9" t="s">
        <v>21</v>
      </c>
      <c r="P9">
        <v>9</v>
      </c>
    </row>
    <row r="10" spans="1:16" x14ac:dyDescent="0.25">
      <c r="O10" s="9" t="s">
        <v>92</v>
      </c>
      <c r="P10">
        <v>6</v>
      </c>
    </row>
    <row r="11" spans="1:16" x14ac:dyDescent="0.25">
      <c r="O11" s="9" t="s">
        <v>80</v>
      </c>
      <c r="P11">
        <v>5</v>
      </c>
    </row>
    <row r="12" spans="1:16" x14ac:dyDescent="0.25">
      <c r="O12" s="9" t="s">
        <v>77</v>
      </c>
      <c r="P12">
        <v>5</v>
      </c>
    </row>
    <row r="13" spans="1:16" x14ac:dyDescent="0.25">
      <c r="O13" s="9" t="s">
        <v>39</v>
      </c>
      <c r="P13">
        <v>6</v>
      </c>
    </row>
    <row r="14" spans="1:16" x14ac:dyDescent="0.25">
      <c r="O14" s="9" t="s">
        <v>50</v>
      </c>
      <c r="P14">
        <v>4</v>
      </c>
    </row>
    <row r="15" spans="1:16" x14ac:dyDescent="0.25">
      <c r="O15" s="9" t="s">
        <v>141</v>
      </c>
      <c r="P15">
        <v>8</v>
      </c>
    </row>
    <row r="16" spans="1:16" x14ac:dyDescent="0.25">
      <c r="O16" s="9" t="s">
        <v>130</v>
      </c>
      <c r="P16">
        <v>3</v>
      </c>
    </row>
    <row r="17" spans="15:16" x14ac:dyDescent="0.25">
      <c r="O17" s="9" t="s">
        <v>5</v>
      </c>
      <c r="P17">
        <v>1</v>
      </c>
    </row>
    <row r="18" spans="15:16" x14ac:dyDescent="0.25">
      <c r="O18" s="9" t="s">
        <v>149</v>
      </c>
      <c r="P18">
        <v>3</v>
      </c>
    </row>
    <row r="19" spans="15:16" x14ac:dyDescent="0.25">
      <c r="O19" s="9" t="s">
        <v>65</v>
      </c>
      <c r="P19">
        <v>8</v>
      </c>
    </row>
    <row r="20" spans="15:16" x14ac:dyDescent="0.25">
      <c r="O20" s="9" t="s">
        <v>73</v>
      </c>
      <c r="P20">
        <v>5</v>
      </c>
    </row>
    <row r="21" spans="15:16" x14ac:dyDescent="0.25">
      <c r="O21" s="9" t="s">
        <v>30</v>
      </c>
      <c r="P21">
        <v>4</v>
      </c>
    </row>
    <row r="22" spans="15:16" x14ac:dyDescent="0.25">
      <c r="O22" s="9" t="s">
        <v>119</v>
      </c>
      <c r="P22">
        <v>6</v>
      </c>
    </row>
    <row r="23" spans="15:16" x14ac:dyDescent="0.25">
      <c r="O23" s="9" t="s">
        <v>69</v>
      </c>
      <c r="P23">
        <v>5</v>
      </c>
    </row>
    <row r="24" spans="15:16" x14ac:dyDescent="0.25">
      <c r="O24" s="9" t="s">
        <v>266</v>
      </c>
      <c r="P24">
        <v>101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1"/>
  <sheetViews>
    <sheetView topLeftCell="A88" workbookViewId="0">
      <selection activeCell="M105" sqref="M105"/>
    </sheetView>
  </sheetViews>
  <sheetFormatPr defaultRowHeight="15" x14ac:dyDescent="0.25"/>
  <cols>
    <col min="1" max="5" width="11" customWidth="1"/>
    <col min="6" max="6" width="16.5703125" customWidth="1"/>
    <col min="7" max="9" width="11" customWidth="1"/>
    <col min="10" max="12" width="12" customWidth="1"/>
    <col min="13" max="13" width="22.140625" customWidth="1"/>
    <col min="14" max="16" width="12" customWidth="1"/>
    <col min="17" max="17" width="13.140625" customWidth="1"/>
    <col min="18" max="18" width="18.5703125" customWidth="1"/>
    <col min="19" max="19" width="18.85546875" customWidth="1"/>
  </cols>
  <sheetData>
    <row r="1" spans="1:19" x14ac:dyDescent="0.25">
      <c r="A1" s="3" t="s">
        <v>244</v>
      </c>
      <c r="B1" s="3" t="s">
        <v>245</v>
      </c>
      <c r="C1" s="3" t="s">
        <v>246</v>
      </c>
      <c r="D1" s="3" t="s">
        <v>247</v>
      </c>
      <c r="E1" s="3" t="s">
        <v>248</v>
      </c>
      <c r="F1" s="3" t="s">
        <v>249</v>
      </c>
      <c r="G1" s="3" t="s">
        <v>250</v>
      </c>
      <c r="H1" s="3" t="s">
        <v>251</v>
      </c>
      <c r="I1" s="3" t="s">
        <v>252</v>
      </c>
      <c r="J1" s="3" t="s">
        <v>253</v>
      </c>
      <c r="K1" s="3" t="s">
        <v>254</v>
      </c>
      <c r="L1" s="3" t="s">
        <v>255</v>
      </c>
      <c r="M1" s="3" t="s">
        <v>256</v>
      </c>
      <c r="N1" s="3" t="s">
        <v>257</v>
      </c>
      <c r="O1" s="3" t="s">
        <v>258</v>
      </c>
      <c r="P1" s="3" t="s">
        <v>259</v>
      </c>
      <c r="Q1" s="3" t="s">
        <v>260</v>
      </c>
      <c r="R1" s="3" t="s">
        <v>262</v>
      </c>
      <c r="S1" s="6" t="s">
        <v>264</v>
      </c>
    </row>
    <row r="2" spans="1:1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6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5" t="s">
        <v>261</v>
      </c>
      <c r="S2" s="5" t="s">
        <v>263</v>
      </c>
    </row>
    <row r="3" spans="1:19" x14ac:dyDescent="0.25">
      <c r="A3" t="s">
        <v>242</v>
      </c>
      <c r="B3" s="2">
        <v>46265</v>
      </c>
      <c r="C3" t="s">
        <v>243</v>
      </c>
      <c r="D3" t="s">
        <v>104</v>
      </c>
      <c r="E3" t="s">
        <v>20</v>
      </c>
      <c r="F3" t="s">
        <v>119</v>
      </c>
      <c r="G3" t="s">
        <v>57</v>
      </c>
      <c r="H3">
        <v>4</v>
      </c>
      <c r="I3" s="7">
        <v>8100</v>
      </c>
      <c r="J3">
        <v>0</v>
      </c>
      <c r="K3">
        <v>2960</v>
      </c>
      <c r="L3">
        <v>0</v>
      </c>
      <c r="M3">
        <v>148741.5</v>
      </c>
      <c r="N3" t="s">
        <v>31</v>
      </c>
      <c r="O3" t="s">
        <v>52</v>
      </c>
      <c r="P3" t="s">
        <v>25</v>
      </c>
      <c r="Q3" t="s">
        <v>32</v>
      </c>
      <c r="R3" t="str">
        <f t="shared" ref="R3:R34" si="0">IF(M2&gt;5000,"HIGH","LOW")</f>
        <v>HIGH</v>
      </c>
      <c r="S3" t="str">
        <f t="shared" ref="S3:S34" si="1">IF(M2&gt;=50000,"High",IF(M2&gt;=25000,"Medium","Low"))</f>
        <v>High</v>
      </c>
    </row>
    <row r="4" spans="1:19" x14ac:dyDescent="0.25">
      <c r="A4" t="s">
        <v>240</v>
      </c>
      <c r="B4" s="2">
        <v>46029</v>
      </c>
      <c r="C4" t="s">
        <v>241</v>
      </c>
      <c r="D4" t="s">
        <v>72</v>
      </c>
      <c r="E4" t="s">
        <v>20</v>
      </c>
      <c r="F4" t="s">
        <v>39</v>
      </c>
      <c r="G4" t="s">
        <v>40</v>
      </c>
      <c r="H4">
        <v>1</v>
      </c>
      <c r="I4" s="7">
        <v>8100</v>
      </c>
      <c r="J4">
        <v>0.15</v>
      </c>
      <c r="K4">
        <v>8800</v>
      </c>
      <c r="L4">
        <v>1320</v>
      </c>
      <c r="M4">
        <v>27264</v>
      </c>
      <c r="N4" t="s">
        <v>23</v>
      </c>
      <c r="O4" t="s">
        <v>52</v>
      </c>
      <c r="P4" t="s">
        <v>25</v>
      </c>
      <c r="Q4" t="s">
        <v>26</v>
      </c>
      <c r="R4" t="str">
        <f t="shared" si="0"/>
        <v>HIGH</v>
      </c>
      <c r="S4" t="str">
        <f t="shared" si="1"/>
        <v>High</v>
      </c>
    </row>
    <row r="5" spans="1:19" x14ac:dyDescent="0.25">
      <c r="A5" t="s">
        <v>238</v>
      </c>
      <c r="B5" s="2">
        <v>46026</v>
      </c>
      <c r="C5" t="s">
        <v>239</v>
      </c>
      <c r="D5" t="s">
        <v>55</v>
      </c>
      <c r="E5" t="s">
        <v>20</v>
      </c>
      <c r="F5" t="s">
        <v>90</v>
      </c>
      <c r="G5" t="s">
        <v>40</v>
      </c>
      <c r="H5">
        <v>5</v>
      </c>
      <c r="I5" s="7">
        <v>8100</v>
      </c>
      <c r="J5">
        <v>0.15</v>
      </c>
      <c r="K5">
        <v>31650</v>
      </c>
      <c r="L5">
        <v>4747.5</v>
      </c>
      <c r="M5">
        <v>102924</v>
      </c>
      <c r="N5" t="s">
        <v>61</v>
      </c>
      <c r="O5" t="s">
        <v>58</v>
      </c>
      <c r="P5" t="s">
        <v>25</v>
      </c>
      <c r="Q5" t="s">
        <v>32</v>
      </c>
      <c r="R5" t="str">
        <f t="shared" si="0"/>
        <v>HIGH</v>
      </c>
      <c r="S5" t="str">
        <f t="shared" si="1"/>
        <v>Medium</v>
      </c>
    </row>
    <row r="6" spans="1:19" x14ac:dyDescent="0.25">
      <c r="A6" t="s">
        <v>237</v>
      </c>
      <c r="B6" s="2">
        <v>46229</v>
      </c>
      <c r="C6" t="s">
        <v>34</v>
      </c>
      <c r="D6" t="s">
        <v>87</v>
      </c>
      <c r="E6" t="s">
        <v>20</v>
      </c>
      <c r="F6" t="s">
        <v>130</v>
      </c>
      <c r="G6" t="s">
        <v>22</v>
      </c>
      <c r="H6">
        <v>2</v>
      </c>
      <c r="I6" s="7">
        <v>8100</v>
      </c>
      <c r="J6">
        <v>0.15</v>
      </c>
      <c r="K6">
        <v>18080</v>
      </c>
      <c r="L6">
        <v>2712</v>
      </c>
      <c r="M6">
        <v>40500</v>
      </c>
      <c r="N6" t="s">
        <v>61</v>
      </c>
      <c r="O6" t="s">
        <v>46</v>
      </c>
      <c r="P6" t="s">
        <v>25</v>
      </c>
      <c r="Q6" t="s">
        <v>62</v>
      </c>
      <c r="R6" t="str">
        <f t="shared" si="0"/>
        <v>HIGH</v>
      </c>
      <c r="S6" t="str">
        <f t="shared" si="1"/>
        <v>High</v>
      </c>
    </row>
    <row r="7" spans="1:19" x14ac:dyDescent="0.25">
      <c r="A7" t="s">
        <v>235</v>
      </c>
      <c r="B7" s="2">
        <v>46214</v>
      </c>
      <c r="C7" t="s">
        <v>236</v>
      </c>
      <c r="D7" t="s">
        <v>38</v>
      </c>
      <c r="E7" t="s">
        <v>274</v>
      </c>
      <c r="F7" t="s">
        <v>65</v>
      </c>
      <c r="G7" t="s">
        <v>22</v>
      </c>
      <c r="H7">
        <v>1</v>
      </c>
      <c r="I7" s="7">
        <v>8100</v>
      </c>
      <c r="J7">
        <v>0.1</v>
      </c>
      <c r="K7">
        <v>4870</v>
      </c>
      <c r="L7">
        <v>487</v>
      </c>
      <c r="M7">
        <v>39900</v>
      </c>
      <c r="N7" t="s">
        <v>23</v>
      </c>
      <c r="O7" t="s">
        <v>58</v>
      </c>
      <c r="P7" t="s">
        <v>25</v>
      </c>
      <c r="Q7" t="s">
        <v>32</v>
      </c>
      <c r="R7" t="str">
        <f t="shared" si="0"/>
        <v>HIGH</v>
      </c>
      <c r="S7" t="str">
        <f t="shared" si="1"/>
        <v>Medium</v>
      </c>
    </row>
    <row r="8" spans="1:19" x14ac:dyDescent="0.25">
      <c r="A8" t="s">
        <v>233</v>
      </c>
      <c r="B8" s="2">
        <v>46183</v>
      </c>
      <c r="C8" t="s">
        <v>234</v>
      </c>
      <c r="D8" t="s">
        <v>55</v>
      </c>
      <c r="E8" t="s">
        <v>20</v>
      </c>
      <c r="F8" t="s">
        <v>73</v>
      </c>
      <c r="G8" t="s">
        <v>22</v>
      </c>
      <c r="H8">
        <v>3</v>
      </c>
      <c r="I8" s="7">
        <v>8100</v>
      </c>
      <c r="J8">
        <v>0.05</v>
      </c>
      <c r="K8">
        <v>9330</v>
      </c>
      <c r="L8">
        <v>466.5</v>
      </c>
      <c r="M8">
        <v>621</v>
      </c>
      <c r="N8" t="s">
        <v>61</v>
      </c>
      <c r="O8" t="s">
        <v>46</v>
      </c>
      <c r="P8" t="s">
        <v>25</v>
      </c>
      <c r="Q8" t="s">
        <v>32</v>
      </c>
      <c r="R8" t="str">
        <f t="shared" si="0"/>
        <v>HIGH</v>
      </c>
      <c r="S8" t="str">
        <f t="shared" si="1"/>
        <v>Medium</v>
      </c>
    </row>
    <row r="9" spans="1:19" x14ac:dyDescent="0.25">
      <c r="A9" t="s">
        <v>231</v>
      </c>
      <c r="B9" s="2">
        <v>46236</v>
      </c>
      <c r="C9" t="s">
        <v>232</v>
      </c>
      <c r="D9" t="s">
        <v>29</v>
      </c>
      <c r="E9" t="s">
        <v>20</v>
      </c>
      <c r="F9" t="s">
        <v>109</v>
      </c>
      <c r="G9" t="s">
        <v>22</v>
      </c>
      <c r="H9">
        <v>1</v>
      </c>
      <c r="I9" s="7">
        <v>8100</v>
      </c>
      <c r="J9">
        <v>0.15</v>
      </c>
      <c r="K9">
        <v>7030</v>
      </c>
      <c r="L9">
        <v>1054.5</v>
      </c>
      <c r="M9">
        <v>3744</v>
      </c>
      <c r="N9" t="s">
        <v>23</v>
      </c>
      <c r="O9" t="s">
        <v>58</v>
      </c>
      <c r="P9" t="s">
        <v>74</v>
      </c>
      <c r="Q9" t="s">
        <v>62</v>
      </c>
      <c r="R9" t="str">
        <f t="shared" si="0"/>
        <v>LOW</v>
      </c>
      <c r="S9" t="str">
        <f t="shared" si="1"/>
        <v>Low</v>
      </c>
    </row>
    <row r="10" spans="1:19" x14ac:dyDescent="0.25">
      <c r="A10" t="s">
        <v>230</v>
      </c>
      <c r="B10" s="2">
        <v>46114</v>
      </c>
      <c r="C10" t="s">
        <v>223</v>
      </c>
      <c r="D10" t="s">
        <v>72</v>
      </c>
      <c r="E10" t="s">
        <v>20</v>
      </c>
      <c r="F10" t="s">
        <v>107</v>
      </c>
      <c r="G10" t="s">
        <v>51</v>
      </c>
      <c r="H10">
        <v>1</v>
      </c>
      <c r="I10" s="7">
        <v>8100</v>
      </c>
      <c r="J10">
        <v>0.2</v>
      </c>
      <c r="K10">
        <v>520</v>
      </c>
      <c r="L10">
        <v>104</v>
      </c>
      <c r="M10">
        <v>31184</v>
      </c>
      <c r="N10" t="s">
        <v>23</v>
      </c>
      <c r="O10" t="s">
        <v>24</v>
      </c>
      <c r="P10" t="s">
        <v>25</v>
      </c>
      <c r="Q10" t="s">
        <v>42</v>
      </c>
      <c r="R10" t="str">
        <f t="shared" si="0"/>
        <v>LOW</v>
      </c>
      <c r="S10" t="str">
        <f t="shared" si="1"/>
        <v>Low</v>
      </c>
    </row>
    <row r="11" spans="1:19" x14ac:dyDescent="0.25">
      <c r="A11" t="s">
        <v>228</v>
      </c>
      <c r="B11" s="2">
        <v>46173</v>
      </c>
      <c r="C11" t="s">
        <v>229</v>
      </c>
      <c r="D11" t="s">
        <v>35</v>
      </c>
      <c r="E11" t="s">
        <v>20</v>
      </c>
      <c r="F11" t="s">
        <v>141</v>
      </c>
      <c r="G11" t="s">
        <v>57</v>
      </c>
      <c r="H11">
        <v>2</v>
      </c>
      <c r="I11" s="7">
        <v>8100</v>
      </c>
      <c r="J11">
        <v>0.1</v>
      </c>
      <c r="K11">
        <v>2920</v>
      </c>
      <c r="L11">
        <v>292</v>
      </c>
      <c r="M11">
        <v>7552</v>
      </c>
      <c r="N11" t="s">
        <v>61</v>
      </c>
      <c r="O11" t="s">
        <v>58</v>
      </c>
      <c r="P11" t="s">
        <v>25</v>
      </c>
      <c r="Q11" t="s">
        <v>62</v>
      </c>
      <c r="R11" t="str">
        <f t="shared" si="0"/>
        <v>HIGH</v>
      </c>
      <c r="S11" t="str">
        <f t="shared" si="1"/>
        <v>Medium</v>
      </c>
    </row>
    <row r="12" spans="1:19" x14ac:dyDescent="0.25">
      <c r="A12" t="s">
        <v>226</v>
      </c>
      <c r="B12" s="2">
        <v>46059</v>
      </c>
      <c r="C12" t="s">
        <v>227</v>
      </c>
      <c r="D12" t="s">
        <v>72</v>
      </c>
      <c r="E12" t="s">
        <v>20</v>
      </c>
      <c r="F12" t="s">
        <v>73</v>
      </c>
      <c r="G12" t="s">
        <v>22</v>
      </c>
      <c r="H12">
        <v>2</v>
      </c>
      <c r="I12" s="7">
        <v>8100</v>
      </c>
      <c r="J12">
        <v>0.2</v>
      </c>
      <c r="K12">
        <v>6000</v>
      </c>
      <c r="L12">
        <v>1200</v>
      </c>
      <c r="M12">
        <v>11760</v>
      </c>
      <c r="N12" t="s">
        <v>61</v>
      </c>
      <c r="O12" t="s">
        <v>46</v>
      </c>
      <c r="P12" t="s">
        <v>25</v>
      </c>
      <c r="Q12" t="s">
        <v>47</v>
      </c>
      <c r="R12" t="str">
        <f t="shared" si="0"/>
        <v>HIGH</v>
      </c>
      <c r="S12" t="str">
        <f t="shared" si="1"/>
        <v>Low</v>
      </c>
    </row>
    <row r="13" spans="1:19" x14ac:dyDescent="0.25">
      <c r="A13" t="s">
        <v>224</v>
      </c>
      <c r="B13" s="2">
        <v>46158</v>
      </c>
      <c r="C13" t="s">
        <v>225</v>
      </c>
      <c r="D13" t="s">
        <v>35</v>
      </c>
      <c r="E13" t="s">
        <v>72</v>
      </c>
      <c r="F13" t="s">
        <v>39</v>
      </c>
      <c r="G13" t="s">
        <v>40</v>
      </c>
      <c r="H13">
        <v>3</v>
      </c>
      <c r="I13" s="7">
        <v>8100</v>
      </c>
      <c r="J13">
        <v>0.05</v>
      </c>
      <c r="K13">
        <v>25140</v>
      </c>
      <c r="L13">
        <v>1257</v>
      </c>
      <c r="M13">
        <v>9664</v>
      </c>
      <c r="N13" t="s">
        <v>31</v>
      </c>
      <c r="O13" t="s">
        <v>46</v>
      </c>
      <c r="P13" t="s">
        <v>25</v>
      </c>
      <c r="Q13" t="s">
        <v>32</v>
      </c>
      <c r="R13" t="str">
        <f t="shared" si="0"/>
        <v>HIGH</v>
      </c>
      <c r="S13" t="str">
        <f t="shared" si="1"/>
        <v>Low</v>
      </c>
    </row>
    <row r="14" spans="1:19" x14ac:dyDescent="0.25">
      <c r="A14" t="s">
        <v>222</v>
      </c>
      <c r="B14" s="2">
        <v>46136</v>
      </c>
      <c r="C14" t="s">
        <v>223</v>
      </c>
      <c r="D14" t="s">
        <v>19</v>
      </c>
      <c r="E14" t="s">
        <v>20</v>
      </c>
      <c r="F14" t="s">
        <v>77</v>
      </c>
      <c r="G14" t="s">
        <v>51</v>
      </c>
      <c r="H14">
        <v>1</v>
      </c>
      <c r="I14" s="7">
        <v>8100</v>
      </c>
      <c r="J14">
        <v>0</v>
      </c>
      <c r="K14">
        <v>190</v>
      </c>
      <c r="L14">
        <v>0</v>
      </c>
      <c r="M14">
        <v>324</v>
      </c>
      <c r="N14" t="s">
        <v>31</v>
      </c>
      <c r="O14" t="s">
        <v>58</v>
      </c>
      <c r="P14" t="s">
        <v>25</v>
      </c>
      <c r="Q14" t="s">
        <v>26</v>
      </c>
      <c r="R14" t="str">
        <f t="shared" si="0"/>
        <v>HIGH</v>
      </c>
      <c r="S14" t="str">
        <f t="shared" si="1"/>
        <v>Low</v>
      </c>
    </row>
    <row r="15" spans="1:19" x14ac:dyDescent="0.25">
      <c r="A15" t="s">
        <v>221</v>
      </c>
      <c r="B15" s="2">
        <v>46246</v>
      </c>
      <c r="C15" t="s">
        <v>145</v>
      </c>
      <c r="D15" t="s">
        <v>38</v>
      </c>
      <c r="E15" t="s">
        <v>274</v>
      </c>
      <c r="F15" t="s">
        <v>141</v>
      </c>
      <c r="G15" t="s">
        <v>57</v>
      </c>
      <c r="H15">
        <v>4</v>
      </c>
      <c r="I15" s="7">
        <v>8100</v>
      </c>
      <c r="J15">
        <v>0.15</v>
      </c>
      <c r="K15">
        <v>7000</v>
      </c>
      <c r="L15">
        <v>1050</v>
      </c>
      <c r="M15">
        <v>1292</v>
      </c>
      <c r="N15" t="s">
        <v>31</v>
      </c>
      <c r="O15" t="s">
        <v>58</v>
      </c>
      <c r="P15" t="s">
        <v>25</v>
      </c>
      <c r="Q15" t="s">
        <v>62</v>
      </c>
      <c r="R15" t="str">
        <f t="shared" si="0"/>
        <v>LOW</v>
      </c>
      <c r="S15" t="str">
        <f t="shared" si="1"/>
        <v>Low</v>
      </c>
    </row>
    <row r="16" spans="1:19" x14ac:dyDescent="0.25">
      <c r="A16" t="s">
        <v>220</v>
      </c>
      <c r="B16" s="2">
        <v>46042</v>
      </c>
      <c r="C16" t="s">
        <v>154</v>
      </c>
      <c r="D16" t="s">
        <v>104</v>
      </c>
      <c r="E16" t="s">
        <v>20</v>
      </c>
      <c r="F16" t="s">
        <v>21</v>
      </c>
      <c r="G16" t="s">
        <v>22</v>
      </c>
      <c r="H16">
        <v>2</v>
      </c>
      <c r="I16" s="7">
        <v>8100</v>
      </c>
      <c r="J16">
        <v>0.05</v>
      </c>
      <c r="K16">
        <v>108020</v>
      </c>
      <c r="L16">
        <v>5401</v>
      </c>
      <c r="M16">
        <v>7263</v>
      </c>
      <c r="N16" t="s">
        <v>23</v>
      </c>
      <c r="O16" t="s">
        <v>24</v>
      </c>
      <c r="P16" t="s">
        <v>25</v>
      </c>
      <c r="Q16" t="s">
        <v>26</v>
      </c>
      <c r="R16" t="str">
        <f t="shared" si="0"/>
        <v>LOW</v>
      </c>
      <c r="S16" t="str">
        <f t="shared" si="1"/>
        <v>Low</v>
      </c>
    </row>
    <row r="17" spans="1:19" x14ac:dyDescent="0.25">
      <c r="A17" t="s">
        <v>219</v>
      </c>
      <c r="B17" s="2">
        <v>46151</v>
      </c>
      <c r="C17" t="s">
        <v>34</v>
      </c>
      <c r="D17" t="s">
        <v>72</v>
      </c>
      <c r="E17" t="s">
        <v>273</v>
      </c>
      <c r="F17" t="s">
        <v>65</v>
      </c>
      <c r="G17" t="s">
        <v>22</v>
      </c>
      <c r="H17">
        <v>4</v>
      </c>
      <c r="I17" s="7">
        <v>8100</v>
      </c>
      <c r="J17">
        <v>0.05</v>
      </c>
      <c r="K17">
        <v>19680</v>
      </c>
      <c r="L17">
        <v>984</v>
      </c>
      <c r="M17">
        <v>7424</v>
      </c>
      <c r="N17" t="s">
        <v>61</v>
      </c>
      <c r="O17" t="s">
        <v>46</v>
      </c>
      <c r="P17" t="s">
        <v>81</v>
      </c>
      <c r="Q17" t="s">
        <v>32</v>
      </c>
      <c r="R17" t="str">
        <f t="shared" si="0"/>
        <v>HIGH</v>
      </c>
      <c r="S17" t="str">
        <f t="shared" si="1"/>
        <v>Low</v>
      </c>
    </row>
    <row r="18" spans="1:19" x14ac:dyDescent="0.25">
      <c r="A18" t="s">
        <v>217</v>
      </c>
      <c r="B18" s="2">
        <v>46242</v>
      </c>
      <c r="C18" t="s">
        <v>218</v>
      </c>
      <c r="D18" t="s">
        <v>38</v>
      </c>
      <c r="E18" t="s">
        <v>20</v>
      </c>
      <c r="F18" t="s">
        <v>80</v>
      </c>
      <c r="G18" t="s">
        <v>57</v>
      </c>
      <c r="H18">
        <v>2</v>
      </c>
      <c r="I18" s="7">
        <v>8100</v>
      </c>
      <c r="J18">
        <v>0.05</v>
      </c>
      <c r="K18">
        <v>1420</v>
      </c>
      <c r="L18">
        <v>71</v>
      </c>
      <c r="M18">
        <v>15408</v>
      </c>
      <c r="N18" t="s">
        <v>23</v>
      </c>
      <c r="O18" t="s">
        <v>24</v>
      </c>
      <c r="P18" t="s">
        <v>25</v>
      </c>
      <c r="Q18" t="s">
        <v>47</v>
      </c>
      <c r="R18" t="str">
        <f t="shared" si="0"/>
        <v>HIGH</v>
      </c>
      <c r="S18" t="str">
        <f t="shared" si="1"/>
        <v>Low</v>
      </c>
    </row>
    <row r="19" spans="1:19" x14ac:dyDescent="0.25">
      <c r="A19" t="s">
        <v>215</v>
      </c>
      <c r="B19" s="2">
        <v>46160</v>
      </c>
      <c r="C19" t="s">
        <v>216</v>
      </c>
      <c r="D19" t="s">
        <v>45</v>
      </c>
      <c r="E19" t="s">
        <v>273</v>
      </c>
      <c r="F19" t="s">
        <v>109</v>
      </c>
      <c r="G19" t="s">
        <v>22</v>
      </c>
      <c r="H19">
        <v>4</v>
      </c>
      <c r="I19" s="7">
        <v>8100</v>
      </c>
      <c r="J19">
        <v>0.15</v>
      </c>
      <c r="K19">
        <v>27880</v>
      </c>
      <c r="L19">
        <v>4182</v>
      </c>
      <c r="M19">
        <v>56650</v>
      </c>
      <c r="N19" t="s">
        <v>23</v>
      </c>
      <c r="O19" t="s">
        <v>24</v>
      </c>
      <c r="P19" t="s">
        <v>25</v>
      </c>
      <c r="Q19" t="s">
        <v>47</v>
      </c>
      <c r="R19" t="str">
        <f t="shared" si="0"/>
        <v>HIGH</v>
      </c>
      <c r="S19" t="str">
        <f t="shared" si="1"/>
        <v>Low</v>
      </c>
    </row>
    <row r="20" spans="1:19" x14ac:dyDescent="0.25">
      <c r="A20" t="s">
        <v>213</v>
      </c>
      <c r="B20" s="2">
        <v>46110</v>
      </c>
      <c r="C20" t="s">
        <v>214</v>
      </c>
      <c r="D20" t="s">
        <v>87</v>
      </c>
      <c r="E20" t="s">
        <v>273</v>
      </c>
      <c r="F20" t="s">
        <v>65</v>
      </c>
      <c r="G20" t="s">
        <v>22</v>
      </c>
      <c r="H20">
        <v>1</v>
      </c>
      <c r="I20" s="7">
        <v>8100</v>
      </c>
      <c r="J20">
        <v>0.15</v>
      </c>
      <c r="K20">
        <v>4300</v>
      </c>
      <c r="L20">
        <v>645</v>
      </c>
      <c r="M20">
        <v>35368.5</v>
      </c>
      <c r="N20" t="s">
        <v>31</v>
      </c>
      <c r="O20" t="s">
        <v>58</v>
      </c>
      <c r="P20" t="s">
        <v>74</v>
      </c>
      <c r="Q20" t="s">
        <v>42</v>
      </c>
      <c r="R20" t="str">
        <f t="shared" si="0"/>
        <v>HIGH</v>
      </c>
      <c r="S20" t="str">
        <f t="shared" si="1"/>
        <v>High</v>
      </c>
    </row>
    <row r="21" spans="1:19" x14ac:dyDescent="0.25">
      <c r="A21" t="s">
        <v>211</v>
      </c>
      <c r="B21" s="2">
        <v>46143</v>
      </c>
      <c r="C21" t="s">
        <v>212</v>
      </c>
      <c r="D21" t="s">
        <v>35</v>
      </c>
      <c r="E21" t="s">
        <v>72</v>
      </c>
      <c r="F21" t="s">
        <v>69</v>
      </c>
      <c r="G21" t="s">
        <v>22</v>
      </c>
      <c r="H21">
        <v>3</v>
      </c>
      <c r="I21" s="7">
        <v>8100</v>
      </c>
      <c r="J21">
        <v>0.15</v>
      </c>
      <c r="K21">
        <v>9450</v>
      </c>
      <c r="L21">
        <v>1417.5</v>
      </c>
      <c r="M21">
        <v>544</v>
      </c>
      <c r="N21" t="s">
        <v>61</v>
      </c>
      <c r="O21" t="s">
        <v>52</v>
      </c>
      <c r="P21" t="s">
        <v>25</v>
      </c>
      <c r="Q21" t="s">
        <v>32</v>
      </c>
      <c r="R21" t="str">
        <f t="shared" si="0"/>
        <v>HIGH</v>
      </c>
      <c r="S21" t="str">
        <f t="shared" si="1"/>
        <v>Medium</v>
      </c>
    </row>
    <row r="22" spans="1:19" x14ac:dyDescent="0.25">
      <c r="A22" t="s">
        <v>209</v>
      </c>
      <c r="B22" s="2">
        <v>46238</v>
      </c>
      <c r="C22" t="s">
        <v>210</v>
      </c>
      <c r="D22" t="s">
        <v>87</v>
      </c>
      <c r="E22" t="s">
        <v>72</v>
      </c>
      <c r="F22" t="s">
        <v>21</v>
      </c>
      <c r="G22" t="s">
        <v>22</v>
      </c>
      <c r="H22">
        <v>5</v>
      </c>
      <c r="I22" s="7">
        <v>8100</v>
      </c>
      <c r="J22">
        <v>0.05</v>
      </c>
      <c r="K22">
        <v>269950</v>
      </c>
      <c r="L22">
        <v>13497.5</v>
      </c>
      <c r="M22">
        <v>1624.5</v>
      </c>
      <c r="N22" t="s">
        <v>23</v>
      </c>
      <c r="O22" t="s">
        <v>52</v>
      </c>
      <c r="P22" t="s">
        <v>74</v>
      </c>
      <c r="Q22" t="s">
        <v>47</v>
      </c>
      <c r="R22" t="str">
        <f t="shared" si="0"/>
        <v>LOW</v>
      </c>
      <c r="S22" t="str">
        <f t="shared" si="1"/>
        <v>Low</v>
      </c>
    </row>
    <row r="23" spans="1:19" x14ac:dyDescent="0.25">
      <c r="A23" t="s">
        <v>208</v>
      </c>
      <c r="B23" s="2">
        <v>46054</v>
      </c>
      <c r="C23" t="s">
        <v>193</v>
      </c>
      <c r="D23" t="s">
        <v>68</v>
      </c>
      <c r="E23" t="s">
        <v>20</v>
      </c>
      <c r="F23" t="s">
        <v>119</v>
      </c>
      <c r="G23" t="s">
        <v>57</v>
      </c>
      <c r="H23">
        <v>4</v>
      </c>
      <c r="I23" s="7">
        <v>8100</v>
      </c>
      <c r="J23">
        <v>0.15</v>
      </c>
      <c r="K23">
        <v>3440</v>
      </c>
      <c r="L23">
        <v>516</v>
      </c>
      <c r="M23">
        <v>920</v>
      </c>
      <c r="N23" t="s">
        <v>23</v>
      </c>
      <c r="O23" t="s">
        <v>52</v>
      </c>
      <c r="P23" t="s">
        <v>25</v>
      </c>
      <c r="Q23" t="s">
        <v>42</v>
      </c>
      <c r="R23" t="str">
        <f t="shared" si="0"/>
        <v>LOW</v>
      </c>
      <c r="S23" t="str">
        <f t="shared" si="1"/>
        <v>Low</v>
      </c>
    </row>
    <row r="24" spans="1:19" x14ac:dyDescent="0.25">
      <c r="A24" t="s">
        <v>207</v>
      </c>
      <c r="B24" s="2">
        <v>46216</v>
      </c>
      <c r="C24" t="s">
        <v>96</v>
      </c>
      <c r="D24" t="s">
        <v>72</v>
      </c>
      <c r="E24" t="s">
        <v>272</v>
      </c>
      <c r="F24" t="s">
        <v>149</v>
      </c>
      <c r="G24" t="s">
        <v>22</v>
      </c>
      <c r="H24">
        <v>2</v>
      </c>
      <c r="I24" s="7">
        <v>8100</v>
      </c>
      <c r="J24">
        <v>0.2</v>
      </c>
      <c r="K24">
        <v>50180</v>
      </c>
      <c r="L24">
        <v>10036</v>
      </c>
      <c r="M24">
        <v>2888</v>
      </c>
      <c r="N24" t="s">
        <v>31</v>
      </c>
      <c r="O24" t="s">
        <v>58</v>
      </c>
      <c r="P24" t="s">
        <v>25</v>
      </c>
      <c r="Q24" t="s">
        <v>32</v>
      </c>
      <c r="R24" t="str">
        <f t="shared" si="0"/>
        <v>LOW</v>
      </c>
      <c r="S24" t="str">
        <f t="shared" si="1"/>
        <v>Low</v>
      </c>
    </row>
    <row r="25" spans="1:19" x14ac:dyDescent="0.25">
      <c r="A25" t="s">
        <v>206</v>
      </c>
      <c r="B25" s="2">
        <v>46087</v>
      </c>
      <c r="C25" t="s">
        <v>129</v>
      </c>
      <c r="D25" t="s">
        <v>72</v>
      </c>
      <c r="E25" t="s">
        <v>273</v>
      </c>
      <c r="F25" t="s">
        <v>141</v>
      </c>
      <c r="G25" t="s">
        <v>57</v>
      </c>
      <c r="H25">
        <v>1</v>
      </c>
      <c r="I25" s="7">
        <v>8100</v>
      </c>
      <c r="J25">
        <v>0.1</v>
      </c>
      <c r="K25">
        <v>1590</v>
      </c>
      <c r="L25">
        <v>159</v>
      </c>
      <c r="M25">
        <v>988</v>
      </c>
      <c r="N25" t="s">
        <v>31</v>
      </c>
      <c r="O25" t="s">
        <v>41</v>
      </c>
      <c r="P25" t="s">
        <v>25</v>
      </c>
      <c r="Q25" t="s">
        <v>47</v>
      </c>
      <c r="R25" t="str">
        <f t="shared" si="0"/>
        <v>LOW</v>
      </c>
      <c r="S25" t="str">
        <f t="shared" si="1"/>
        <v>Low</v>
      </c>
    </row>
    <row r="26" spans="1:19" x14ac:dyDescent="0.25">
      <c r="A26" t="s">
        <v>204</v>
      </c>
      <c r="B26" s="2">
        <v>46105</v>
      </c>
      <c r="C26" t="s">
        <v>205</v>
      </c>
      <c r="D26" t="s">
        <v>104</v>
      </c>
      <c r="E26" t="s">
        <v>20</v>
      </c>
      <c r="F26" t="s">
        <v>30</v>
      </c>
      <c r="G26" t="s">
        <v>22</v>
      </c>
      <c r="H26">
        <v>4</v>
      </c>
      <c r="I26" s="7">
        <v>8100</v>
      </c>
      <c r="J26">
        <v>0.1</v>
      </c>
      <c r="K26">
        <v>69800</v>
      </c>
      <c r="L26">
        <v>6980</v>
      </c>
      <c r="M26">
        <v>20800</v>
      </c>
      <c r="N26" t="s">
        <v>61</v>
      </c>
      <c r="O26" t="s">
        <v>24</v>
      </c>
      <c r="P26" t="s">
        <v>25</v>
      </c>
      <c r="Q26" t="s">
        <v>42</v>
      </c>
      <c r="R26" t="str">
        <f t="shared" si="0"/>
        <v>LOW</v>
      </c>
      <c r="S26" t="str">
        <f t="shared" si="1"/>
        <v>Low</v>
      </c>
    </row>
    <row r="27" spans="1:19" x14ac:dyDescent="0.25">
      <c r="A27" t="s">
        <v>203</v>
      </c>
      <c r="B27" s="2">
        <v>46143</v>
      </c>
      <c r="C27" t="s">
        <v>169</v>
      </c>
      <c r="D27" t="s">
        <v>29</v>
      </c>
      <c r="E27" t="s">
        <v>20</v>
      </c>
      <c r="F27" t="s">
        <v>130</v>
      </c>
      <c r="G27" t="s">
        <v>22</v>
      </c>
      <c r="H27">
        <v>5</v>
      </c>
      <c r="I27" s="7">
        <v>8100</v>
      </c>
      <c r="J27">
        <v>0.05</v>
      </c>
      <c r="K27">
        <v>43150</v>
      </c>
      <c r="L27">
        <v>2157.5</v>
      </c>
      <c r="M27">
        <v>35488</v>
      </c>
      <c r="N27" t="s">
        <v>31</v>
      </c>
      <c r="O27" t="s">
        <v>41</v>
      </c>
      <c r="P27" t="s">
        <v>25</v>
      </c>
      <c r="Q27" t="s">
        <v>47</v>
      </c>
      <c r="R27" t="str">
        <f t="shared" si="0"/>
        <v>HIGH</v>
      </c>
      <c r="S27" t="str">
        <f t="shared" si="1"/>
        <v>Low</v>
      </c>
    </row>
    <row r="28" spans="1:19" x14ac:dyDescent="0.25">
      <c r="A28" t="s">
        <v>202</v>
      </c>
      <c r="B28" s="2">
        <v>46177</v>
      </c>
      <c r="C28" t="s">
        <v>101</v>
      </c>
      <c r="D28" t="s">
        <v>19</v>
      </c>
      <c r="E28" t="s">
        <v>274</v>
      </c>
      <c r="F28" t="s">
        <v>73</v>
      </c>
      <c r="G28" t="s">
        <v>22</v>
      </c>
      <c r="H28">
        <v>1</v>
      </c>
      <c r="I28" s="7">
        <v>8100</v>
      </c>
      <c r="J28">
        <v>0.1</v>
      </c>
      <c r="K28">
        <v>3230</v>
      </c>
      <c r="L28">
        <v>323</v>
      </c>
      <c r="M28">
        <v>9918</v>
      </c>
      <c r="N28" t="s">
        <v>23</v>
      </c>
      <c r="O28" t="s">
        <v>41</v>
      </c>
      <c r="P28" t="s">
        <v>25</v>
      </c>
      <c r="Q28" t="s">
        <v>32</v>
      </c>
      <c r="R28" t="str">
        <f t="shared" si="0"/>
        <v>HIGH</v>
      </c>
      <c r="S28" t="str">
        <f t="shared" si="1"/>
        <v>Medium</v>
      </c>
    </row>
    <row r="29" spans="1:19" x14ac:dyDescent="0.25">
      <c r="A29" t="s">
        <v>200</v>
      </c>
      <c r="B29" s="2">
        <v>46202</v>
      </c>
      <c r="C29" t="s">
        <v>201</v>
      </c>
      <c r="D29" t="s">
        <v>35</v>
      </c>
      <c r="E29" t="s">
        <v>272</v>
      </c>
      <c r="F29" t="s">
        <v>50</v>
      </c>
      <c r="G29" t="s">
        <v>51</v>
      </c>
      <c r="H29">
        <v>1</v>
      </c>
      <c r="I29" s="7">
        <v>8100</v>
      </c>
      <c r="J29">
        <v>0.1</v>
      </c>
      <c r="K29">
        <v>250</v>
      </c>
      <c r="L29">
        <v>25</v>
      </c>
      <c r="M29">
        <v>1296</v>
      </c>
      <c r="N29" t="s">
        <v>23</v>
      </c>
      <c r="O29" t="s">
        <v>24</v>
      </c>
      <c r="P29" t="s">
        <v>25</v>
      </c>
      <c r="Q29" t="s">
        <v>47</v>
      </c>
      <c r="R29" t="str">
        <f t="shared" si="0"/>
        <v>HIGH</v>
      </c>
      <c r="S29" t="str">
        <f t="shared" si="1"/>
        <v>Low</v>
      </c>
    </row>
    <row r="30" spans="1:19" x14ac:dyDescent="0.25">
      <c r="A30" t="s">
        <v>199</v>
      </c>
      <c r="B30" s="2">
        <v>46234</v>
      </c>
      <c r="C30" t="s">
        <v>191</v>
      </c>
      <c r="D30" t="s">
        <v>19</v>
      </c>
      <c r="E30" t="s">
        <v>20</v>
      </c>
      <c r="F30" t="s">
        <v>141</v>
      </c>
      <c r="G30" t="s">
        <v>57</v>
      </c>
      <c r="H30">
        <v>2</v>
      </c>
      <c r="I30" s="7">
        <v>8100</v>
      </c>
      <c r="J30">
        <v>0.1</v>
      </c>
      <c r="K30">
        <v>3300</v>
      </c>
      <c r="L30">
        <v>330</v>
      </c>
      <c r="M30">
        <v>8226</v>
      </c>
      <c r="N30" t="s">
        <v>61</v>
      </c>
      <c r="O30" t="s">
        <v>41</v>
      </c>
      <c r="P30" t="s">
        <v>25</v>
      </c>
      <c r="Q30" t="s">
        <v>32</v>
      </c>
      <c r="R30" t="str">
        <f t="shared" si="0"/>
        <v>LOW</v>
      </c>
      <c r="S30" t="str">
        <f t="shared" si="1"/>
        <v>Low</v>
      </c>
    </row>
    <row r="31" spans="1:19" x14ac:dyDescent="0.25">
      <c r="A31" t="s">
        <v>197</v>
      </c>
      <c r="B31" s="2">
        <v>46041</v>
      </c>
      <c r="C31" t="s">
        <v>198</v>
      </c>
      <c r="D31" t="s">
        <v>55</v>
      </c>
      <c r="E31" t="s">
        <v>273</v>
      </c>
      <c r="F31" t="s">
        <v>119</v>
      </c>
      <c r="G31" t="s">
        <v>57</v>
      </c>
      <c r="H31">
        <v>3</v>
      </c>
      <c r="I31" s="7">
        <v>8100</v>
      </c>
      <c r="J31">
        <v>0.15</v>
      </c>
      <c r="K31">
        <v>2490</v>
      </c>
      <c r="L31">
        <v>373.5</v>
      </c>
      <c r="M31">
        <v>826.5</v>
      </c>
      <c r="N31" t="s">
        <v>23</v>
      </c>
      <c r="O31" t="s">
        <v>52</v>
      </c>
      <c r="P31" t="s">
        <v>25</v>
      </c>
      <c r="Q31" t="s">
        <v>47</v>
      </c>
      <c r="R31" t="str">
        <f t="shared" si="0"/>
        <v>HIGH</v>
      </c>
      <c r="S31" t="str">
        <f t="shared" si="1"/>
        <v>Low</v>
      </c>
    </row>
    <row r="32" spans="1:19" x14ac:dyDescent="0.25">
      <c r="A32" t="s">
        <v>195</v>
      </c>
      <c r="B32" s="2">
        <v>46063</v>
      </c>
      <c r="C32" t="s">
        <v>196</v>
      </c>
      <c r="D32" t="s">
        <v>19</v>
      </c>
      <c r="E32" t="s">
        <v>274</v>
      </c>
      <c r="F32" t="s">
        <v>56</v>
      </c>
      <c r="G32" t="s">
        <v>57</v>
      </c>
      <c r="H32">
        <v>2</v>
      </c>
      <c r="I32" s="7">
        <v>8100</v>
      </c>
      <c r="J32">
        <v>0</v>
      </c>
      <c r="K32">
        <v>2240</v>
      </c>
      <c r="L32">
        <v>0</v>
      </c>
      <c r="M32">
        <v>1782</v>
      </c>
      <c r="N32" t="s">
        <v>61</v>
      </c>
      <c r="O32" t="s">
        <v>58</v>
      </c>
      <c r="P32" t="s">
        <v>25</v>
      </c>
      <c r="Q32" t="s">
        <v>26</v>
      </c>
      <c r="R32" t="str">
        <f t="shared" si="0"/>
        <v>LOW</v>
      </c>
      <c r="S32" t="str">
        <f t="shared" si="1"/>
        <v>Low</v>
      </c>
    </row>
    <row r="33" spans="1:19" x14ac:dyDescent="0.25">
      <c r="A33" t="s">
        <v>194</v>
      </c>
      <c r="B33" s="2">
        <v>46168</v>
      </c>
      <c r="C33" t="s">
        <v>145</v>
      </c>
      <c r="D33" t="s">
        <v>104</v>
      </c>
      <c r="E33" t="s">
        <v>20</v>
      </c>
      <c r="F33" t="s">
        <v>119</v>
      </c>
      <c r="G33" t="s">
        <v>57</v>
      </c>
      <c r="H33">
        <v>5</v>
      </c>
      <c r="I33" s="7">
        <v>8100</v>
      </c>
      <c r="J33">
        <v>0.1</v>
      </c>
      <c r="K33">
        <v>4400</v>
      </c>
      <c r="L33">
        <v>440</v>
      </c>
      <c r="M33">
        <v>156546</v>
      </c>
      <c r="N33" t="s">
        <v>31</v>
      </c>
      <c r="O33" t="s">
        <v>52</v>
      </c>
      <c r="P33" t="s">
        <v>25</v>
      </c>
      <c r="Q33" t="s">
        <v>42</v>
      </c>
      <c r="R33" t="str">
        <f t="shared" si="0"/>
        <v>LOW</v>
      </c>
      <c r="S33" t="str">
        <f t="shared" si="1"/>
        <v>Low</v>
      </c>
    </row>
    <row r="34" spans="1:19" x14ac:dyDescent="0.25">
      <c r="A34" t="s">
        <v>192</v>
      </c>
      <c r="B34" s="2">
        <v>46178</v>
      </c>
      <c r="C34" t="s">
        <v>193</v>
      </c>
      <c r="D34" t="s">
        <v>19</v>
      </c>
      <c r="E34" t="s">
        <v>20</v>
      </c>
      <c r="F34" t="s">
        <v>92</v>
      </c>
      <c r="G34" t="s">
        <v>22</v>
      </c>
      <c r="H34">
        <v>1</v>
      </c>
      <c r="I34" s="7">
        <v>8100</v>
      </c>
      <c r="J34">
        <v>0.15</v>
      </c>
      <c r="K34">
        <v>12140</v>
      </c>
      <c r="L34">
        <v>1821</v>
      </c>
      <c r="M34">
        <v>18360</v>
      </c>
      <c r="N34" t="s">
        <v>23</v>
      </c>
      <c r="O34" t="s">
        <v>24</v>
      </c>
      <c r="P34" t="s">
        <v>25</v>
      </c>
      <c r="Q34" t="s">
        <v>47</v>
      </c>
      <c r="R34" t="str">
        <f t="shared" si="0"/>
        <v>HIGH</v>
      </c>
      <c r="S34" t="str">
        <f t="shared" si="1"/>
        <v>High</v>
      </c>
    </row>
    <row r="35" spans="1:19" x14ac:dyDescent="0.25">
      <c r="A35" t="s">
        <v>190</v>
      </c>
      <c r="B35" s="2">
        <v>46170</v>
      </c>
      <c r="C35" t="s">
        <v>191</v>
      </c>
      <c r="D35" t="s">
        <v>104</v>
      </c>
      <c r="E35" t="s">
        <v>20</v>
      </c>
      <c r="F35" t="s">
        <v>84</v>
      </c>
      <c r="G35" t="s">
        <v>22</v>
      </c>
      <c r="H35">
        <v>1</v>
      </c>
      <c r="I35" s="7">
        <v>8100</v>
      </c>
      <c r="J35">
        <v>0</v>
      </c>
      <c r="K35">
        <v>2450</v>
      </c>
      <c r="L35">
        <v>0</v>
      </c>
      <c r="M35">
        <v>17620</v>
      </c>
      <c r="N35" t="s">
        <v>31</v>
      </c>
      <c r="O35" t="s">
        <v>41</v>
      </c>
      <c r="P35" t="s">
        <v>25</v>
      </c>
      <c r="Q35" t="s">
        <v>42</v>
      </c>
      <c r="R35" t="str">
        <f t="shared" ref="R35:R66" si="2">IF(M34&gt;5000,"HIGH","LOW")</f>
        <v>HIGH</v>
      </c>
      <c r="S35" t="str">
        <f t="shared" ref="S35:S66" si="3">IF(M34&gt;=50000,"High",IF(M34&gt;=25000,"Medium","Low"))</f>
        <v>Low</v>
      </c>
    </row>
    <row r="36" spans="1:19" x14ac:dyDescent="0.25">
      <c r="A36" t="s">
        <v>188</v>
      </c>
      <c r="B36" s="2">
        <v>46095</v>
      </c>
      <c r="C36" t="s">
        <v>189</v>
      </c>
      <c r="D36" t="s">
        <v>68</v>
      </c>
      <c r="E36" t="s">
        <v>20</v>
      </c>
      <c r="F36" t="s">
        <v>107</v>
      </c>
      <c r="G36" t="s">
        <v>51</v>
      </c>
      <c r="H36">
        <v>1</v>
      </c>
      <c r="I36" s="7">
        <v>8100</v>
      </c>
      <c r="J36">
        <v>0.2</v>
      </c>
      <c r="K36">
        <v>590</v>
      </c>
      <c r="L36">
        <v>118</v>
      </c>
      <c r="M36">
        <v>3924</v>
      </c>
      <c r="N36" t="s">
        <v>31</v>
      </c>
      <c r="O36" t="s">
        <v>46</v>
      </c>
      <c r="P36" t="s">
        <v>25</v>
      </c>
      <c r="Q36" t="s">
        <v>42</v>
      </c>
      <c r="R36" t="str">
        <f t="shared" si="2"/>
        <v>HIGH</v>
      </c>
      <c r="S36" t="str">
        <f t="shared" si="3"/>
        <v>Low</v>
      </c>
    </row>
    <row r="37" spans="1:19" x14ac:dyDescent="0.25">
      <c r="A37" t="s">
        <v>186</v>
      </c>
      <c r="B37" s="2">
        <v>46204</v>
      </c>
      <c r="C37" t="s">
        <v>187</v>
      </c>
      <c r="D37" t="s">
        <v>35</v>
      </c>
      <c r="E37" t="s">
        <v>20</v>
      </c>
      <c r="F37" t="s">
        <v>92</v>
      </c>
      <c r="G37" t="s">
        <v>22</v>
      </c>
      <c r="H37">
        <v>3</v>
      </c>
      <c r="I37" s="7">
        <v>8100</v>
      </c>
      <c r="J37">
        <v>0</v>
      </c>
      <c r="K37">
        <v>33690</v>
      </c>
      <c r="L37">
        <v>0</v>
      </c>
      <c r="M37">
        <v>884</v>
      </c>
      <c r="N37" t="s">
        <v>31</v>
      </c>
      <c r="O37" t="s">
        <v>41</v>
      </c>
      <c r="P37" t="s">
        <v>25</v>
      </c>
      <c r="Q37" t="s">
        <v>42</v>
      </c>
      <c r="R37" t="str">
        <f t="shared" si="2"/>
        <v>LOW</v>
      </c>
      <c r="S37" t="str">
        <f t="shared" si="3"/>
        <v>Low</v>
      </c>
    </row>
    <row r="38" spans="1:19" x14ac:dyDescent="0.25">
      <c r="A38" t="s">
        <v>185</v>
      </c>
      <c r="B38" s="2">
        <v>46093</v>
      </c>
      <c r="C38" t="s">
        <v>143</v>
      </c>
      <c r="D38" t="s">
        <v>19</v>
      </c>
      <c r="E38" t="s">
        <v>20</v>
      </c>
      <c r="F38" t="s">
        <v>141</v>
      </c>
      <c r="G38" t="s">
        <v>57</v>
      </c>
      <c r="H38">
        <v>2</v>
      </c>
      <c r="I38" s="7">
        <v>8100</v>
      </c>
      <c r="J38">
        <v>0.15</v>
      </c>
      <c r="K38">
        <v>3000</v>
      </c>
      <c r="L38">
        <v>450</v>
      </c>
      <c r="M38">
        <v>9351</v>
      </c>
      <c r="N38" t="s">
        <v>61</v>
      </c>
      <c r="O38" t="s">
        <v>46</v>
      </c>
      <c r="P38" t="s">
        <v>25</v>
      </c>
      <c r="Q38" t="s">
        <v>62</v>
      </c>
      <c r="R38" t="str">
        <f t="shared" si="2"/>
        <v>LOW</v>
      </c>
      <c r="S38" t="str">
        <f t="shared" si="3"/>
        <v>Low</v>
      </c>
    </row>
    <row r="39" spans="1:19" x14ac:dyDescent="0.25">
      <c r="A39" t="s">
        <v>184</v>
      </c>
      <c r="B39" s="2">
        <v>46092</v>
      </c>
      <c r="C39" t="s">
        <v>89</v>
      </c>
      <c r="D39" t="s">
        <v>38</v>
      </c>
      <c r="E39" t="s">
        <v>20</v>
      </c>
      <c r="F39" t="s">
        <v>77</v>
      </c>
      <c r="G39" t="s">
        <v>51</v>
      </c>
      <c r="H39">
        <v>5</v>
      </c>
      <c r="I39" s="7">
        <v>8100</v>
      </c>
      <c r="J39">
        <v>0.15</v>
      </c>
      <c r="K39">
        <v>850</v>
      </c>
      <c r="L39">
        <v>127.5</v>
      </c>
      <c r="M39">
        <v>5895</v>
      </c>
      <c r="N39" t="s">
        <v>23</v>
      </c>
      <c r="O39" t="s">
        <v>52</v>
      </c>
      <c r="P39" t="s">
        <v>25</v>
      </c>
      <c r="Q39" t="s">
        <v>42</v>
      </c>
      <c r="R39" t="str">
        <f t="shared" si="2"/>
        <v>HIGH</v>
      </c>
      <c r="S39" t="str">
        <f t="shared" si="3"/>
        <v>Low</v>
      </c>
    </row>
    <row r="40" spans="1:19" x14ac:dyDescent="0.25">
      <c r="A40" t="s">
        <v>182</v>
      </c>
      <c r="B40" s="2">
        <v>46200</v>
      </c>
      <c r="C40" t="s">
        <v>183</v>
      </c>
      <c r="D40" t="s">
        <v>104</v>
      </c>
      <c r="E40" t="s">
        <v>274</v>
      </c>
      <c r="F40" t="s">
        <v>21</v>
      </c>
      <c r="G40" t="s">
        <v>22</v>
      </c>
      <c r="H40">
        <v>1</v>
      </c>
      <c r="I40" s="7">
        <v>8100</v>
      </c>
      <c r="J40">
        <v>0.15</v>
      </c>
      <c r="K40">
        <v>52740</v>
      </c>
      <c r="L40">
        <v>7911</v>
      </c>
      <c r="M40">
        <v>2504</v>
      </c>
      <c r="N40" t="s">
        <v>61</v>
      </c>
      <c r="O40" t="s">
        <v>41</v>
      </c>
      <c r="P40" t="s">
        <v>25</v>
      </c>
      <c r="Q40" t="s">
        <v>32</v>
      </c>
      <c r="R40" t="str">
        <f t="shared" si="2"/>
        <v>HIGH</v>
      </c>
      <c r="S40" t="str">
        <f t="shared" si="3"/>
        <v>Low</v>
      </c>
    </row>
    <row r="41" spans="1:19" x14ac:dyDescent="0.25">
      <c r="A41" t="s">
        <v>180</v>
      </c>
      <c r="B41" s="2">
        <v>46084</v>
      </c>
      <c r="C41" t="s">
        <v>181</v>
      </c>
      <c r="D41" t="s">
        <v>87</v>
      </c>
      <c r="E41" t="s">
        <v>20</v>
      </c>
      <c r="F41" t="s">
        <v>21</v>
      </c>
      <c r="G41" t="s">
        <v>22</v>
      </c>
      <c r="H41">
        <v>5</v>
      </c>
      <c r="I41" s="7">
        <v>8100</v>
      </c>
      <c r="J41">
        <v>0</v>
      </c>
      <c r="K41">
        <v>299650</v>
      </c>
      <c r="L41">
        <v>0</v>
      </c>
      <c r="M41">
        <v>180</v>
      </c>
      <c r="N41" t="s">
        <v>31</v>
      </c>
      <c r="O41" t="s">
        <v>24</v>
      </c>
      <c r="P41" t="s">
        <v>25</v>
      </c>
      <c r="Q41" t="s">
        <v>47</v>
      </c>
      <c r="R41" t="str">
        <f t="shared" si="2"/>
        <v>LOW</v>
      </c>
      <c r="S41" t="str">
        <f t="shared" si="3"/>
        <v>Low</v>
      </c>
    </row>
    <row r="42" spans="1:19" x14ac:dyDescent="0.25">
      <c r="A42" t="s">
        <v>179</v>
      </c>
      <c r="B42" s="2">
        <v>46147</v>
      </c>
      <c r="C42" t="s">
        <v>154</v>
      </c>
      <c r="D42" t="s">
        <v>38</v>
      </c>
      <c r="E42" t="s">
        <v>20</v>
      </c>
      <c r="F42" t="s">
        <v>21</v>
      </c>
      <c r="G42" t="s">
        <v>22</v>
      </c>
      <c r="H42">
        <v>4</v>
      </c>
      <c r="I42" s="7">
        <v>8100</v>
      </c>
      <c r="J42">
        <v>0.05</v>
      </c>
      <c r="K42">
        <v>235440</v>
      </c>
      <c r="L42">
        <v>11772</v>
      </c>
      <c r="M42">
        <v>18724.5</v>
      </c>
      <c r="N42" t="s">
        <v>61</v>
      </c>
      <c r="O42" t="s">
        <v>41</v>
      </c>
      <c r="P42" t="s">
        <v>25</v>
      </c>
      <c r="Q42" t="s">
        <v>42</v>
      </c>
      <c r="R42" t="str">
        <f t="shared" si="2"/>
        <v>LOW</v>
      </c>
      <c r="S42" t="str">
        <f t="shared" si="3"/>
        <v>Low</v>
      </c>
    </row>
    <row r="43" spans="1:19" x14ac:dyDescent="0.25">
      <c r="A43" t="s">
        <v>177</v>
      </c>
      <c r="B43" s="2">
        <v>46094</v>
      </c>
      <c r="C43" t="s">
        <v>178</v>
      </c>
      <c r="D43" t="s">
        <v>35</v>
      </c>
      <c r="E43" t="s">
        <v>72</v>
      </c>
      <c r="F43" t="s">
        <v>99</v>
      </c>
      <c r="G43" t="s">
        <v>57</v>
      </c>
      <c r="H43">
        <v>2</v>
      </c>
      <c r="I43" s="7">
        <v>8100</v>
      </c>
      <c r="J43">
        <v>0</v>
      </c>
      <c r="K43">
        <v>3840</v>
      </c>
      <c r="L43">
        <v>0</v>
      </c>
      <c r="M43">
        <v>1463</v>
      </c>
      <c r="N43" t="s">
        <v>23</v>
      </c>
      <c r="O43" t="s">
        <v>41</v>
      </c>
      <c r="P43" t="s">
        <v>152</v>
      </c>
      <c r="Q43" t="s">
        <v>47</v>
      </c>
      <c r="R43" t="str">
        <f t="shared" si="2"/>
        <v>HIGH</v>
      </c>
      <c r="S43" t="str">
        <f t="shared" si="3"/>
        <v>Low</v>
      </c>
    </row>
    <row r="44" spans="1:19" x14ac:dyDescent="0.25">
      <c r="A44" t="s">
        <v>175</v>
      </c>
      <c r="B44" s="2">
        <v>46189</v>
      </c>
      <c r="C44" t="s">
        <v>176</v>
      </c>
      <c r="D44" t="s">
        <v>38</v>
      </c>
      <c r="E44" t="s">
        <v>20</v>
      </c>
      <c r="F44" t="s">
        <v>50</v>
      </c>
      <c r="G44" t="s">
        <v>51</v>
      </c>
      <c r="H44">
        <v>2</v>
      </c>
      <c r="I44" s="7">
        <v>8100</v>
      </c>
      <c r="J44">
        <v>0.2</v>
      </c>
      <c r="K44">
        <v>500</v>
      </c>
      <c r="L44">
        <v>100</v>
      </c>
      <c r="M44">
        <v>12882</v>
      </c>
      <c r="N44" t="s">
        <v>61</v>
      </c>
      <c r="O44" t="s">
        <v>24</v>
      </c>
      <c r="P44" t="s">
        <v>25</v>
      </c>
      <c r="Q44" t="s">
        <v>32</v>
      </c>
      <c r="R44" t="str">
        <f t="shared" si="2"/>
        <v>LOW</v>
      </c>
      <c r="S44" t="str">
        <f t="shared" si="3"/>
        <v>Low</v>
      </c>
    </row>
    <row r="45" spans="1:19" x14ac:dyDescent="0.25">
      <c r="A45" t="s">
        <v>173</v>
      </c>
      <c r="B45" s="2">
        <v>46152</v>
      </c>
      <c r="C45" t="s">
        <v>174</v>
      </c>
      <c r="D45" t="s">
        <v>38</v>
      </c>
      <c r="E45" t="s">
        <v>20</v>
      </c>
      <c r="F45" t="s">
        <v>141</v>
      </c>
      <c r="G45" t="s">
        <v>57</v>
      </c>
      <c r="H45">
        <v>4</v>
      </c>
      <c r="I45" s="7">
        <v>8100</v>
      </c>
      <c r="J45">
        <v>0</v>
      </c>
      <c r="K45">
        <v>6600</v>
      </c>
      <c r="L45">
        <v>0</v>
      </c>
      <c r="M45">
        <v>22300</v>
      </c>
      <c r="N45" t="s">
        <v>61</v>
      </c>
      <c r="O45" t="s">
        <v>46</v>
      </c>
      <c r="P45" t="s">
        <v>25</v>
      </c>
      <c r="Q45" t="s">
        <v>47</v>
      </c>
      <c r="R45" t="str">
        <f t="shared" si="2"/>
        <v>HIGH</v>
      </c>
      <c r="S45" t="str">
        <f t="shared" si="3"/>
        <v>Low</v>
      </c>
    </row>
    <row r="46" spans="1:19" x14ac:dyDescent="0.25">
      <c r="A46" t="s">
        <v>172</v>
      </c>
      <c r="B46" s="2">
        <v>46049</v>
      </c>
      <c r="C46" t="s">
        <v>171</v>
      </c>
      <c r="D46" t="s">
        <v>55</v>
      </c>
      <c r="E46" t="s">
        <v>20</v>
      </c>
      <c r="F46" t="s">
        <v>30</v>
      </c>
      <c r="G46" t="s">
        <v>22</v>
      </c>
      <c r="H46">
        <v>5</v>
      </c>
      <c r="I46" s="7">
        <v>8100</v>
      </c>
      <c r="J46">
        <v>0.05</v>
      </c>
      <c r="K46">
        <v>93450</v>
      </c>
      <c r="L46">
        <v>4672.5</v>
      </c>
      <c r="M46">
        <v>24206</v>
      </c>
      <c r="N46" t="s">
        <v>31</v>
      </c>
      <c r="O46" t="s">
        <v>41</v>
      </c>
      <c r="P46" t="s">
        <v>25</v>
      </c>
      <c r="Q46" t="s">
        <v>26</v>
      </c>
      <c r="R46" t="str">
        <f t="shared" si="2"/>
        <v>HIGH</v>
      </c>
      <c r="S46" t="str">
        <f t="shared" si="3"/>
        <v>Low</v>
      </c>
    </row>
    <row r="47" spans="1:19" x14ac:dyDescent="0.25">
      <c r="A47" t="s">
        <v>170</v>
      </c>
      <c r="B47" s="2">
        <v>46171</v>
      </c>
      <c r="C47" t="s">
        <v>171</v>
      </c>
      <c r="D47" t="s">
        <v>45</v>
      </c>
      <c r="E47" t="s">
        <v>272</v>
      </c>
      <c r="F47" t="s">
        <v>84</v>
      </c>
      <c r="G47" t="s">
        <v>22</v>
      </c>
      <c r="H47">
        <v>2</v>
      </c>
      <c r="I47" s="7">
        <v>8100</v>
      </c>
      <c r="J47">
        <v>0</v>
      </c>
      <c r="K47">
        <v>5460</v>
      </c>
      <c r="L47">
        <v>0</v>
      </c>
      <c r="M47">
        <v>118750</v>
      </c>
      <c r="N47" t="s">
        <v>23</v>
      </c>
      <c r="O47" t="s">
        <v>24</v>
      </c>
      <c r="P47" t="s">
        <v>25</v>
      </c>
      <c r="Q47" t="s">
        <v>47</v>
      </c>
      <c r="R47" t="str">
        <f t="shared" si="2"/>
        <v>HIGH</v>
      </c>
      <c r="S47" t="str">
        <f t="shared" si="3"/>
        <v>Low</v>
      </c>
    </row>
    <row r="48" spans="1:19" x14ac:dyDescent="0.25">
      <c r="A48" t="s">
        <v>168</v>
      </c>
      <c r="B48" s="2">
        <v>46167</v>
      </c>
      <c r="C48" t="s">
        <v>169</v>
      </c>
      <c r="D48" t="s">
        <v>45</v>
      </c>
      <c r="E48" t="s">
        <v>272</v>
      </c>
      <c r="F48" t="s">
        <v>65</v>
      </c>
      <c r="G48" t="s">
        <v>22</v>
      </c>
      <c r="H48">
        <v>2</v>
      </c>
      <c r="I48" s="7">
        <v>8100</v>
      </c>
      <c r="J48">
        <v>0</v>
      </c>
      <c r="K48">
        <v>8320</v>
      </c>
      <c r="L48">
        <v>0</v>
      </c>
      <c r="M48">
        <v>11840</v>
      </c>
      <c r="N48" t="s">
        <v>61</v>
      </c>
      <c r="O48" t="s">
        <v>52</v>
      </c>
      <c r="P48" t="s">
        <v>74</v>
      </c>
      <c r="Q48" t="s">
        <v>32</v>
      </c>
      <c r="R48" t="str">
        <f t="shared" si="2"/>
        <v>HIGH</v>
      </c>
      <c r="S48" t="str">
        <f t="shared" si="3"/>
        <v>High</v>
      </c>
    </row>
    <row r="49" spans="1:19" x14ac:dyDescent="0.25">
      <c r="A49" t="s">
        <v>166</v>
      </c>
      <c r="B49" s="2">
        <v>46080</v>
      </c>
      <c r="C49" t="s">
        <v>167</v>
      </c>
      <c r="D49" t="s">
        <v>29</v>
      </c>
      <c r="E49" t="s">
        <v>273</v>
      </c>
      <c r="F49" t="s">
        <v>141</v>
      </c>
      <c r="G49" t="s">
        <v>57</v>
      </c>
      <c r="H49">
        <v>1</v>
      </c>
      <c r="I49" s="7">
        <v>8100</v>
      </c>
      <c r="J49">
        <v>0.1</v>
      </c>
      <c r="K49">
        <v>1760</v>
      </c>
      <c r="L49">
        <v>176</v>
      </c>
      <c r="M49">
        <v>1060</v>
      </c>
      <c r="N49" t="s">
        <v>31</v>
      </c>
      <c r="O49" t="s">
        <v>52</v>
      </c>
      <c r="P49" t="s">
        <v>25</v>
      </c>
      <c r="Q49" t="s">
        <v>26</v>
      </c>
      <c r="R49" t="str">
        <f t="shared" si="2"/>
        <v>HIGH</v>
      </c>
      <c r="S49" t="str">
        <f t="shared" si="3"/>
        <v>Low</v>
      </c>
    </row>
    <row r="50" spans="1:19" x14ac:dyDescent="0.25">
      <c r="A50" t="s">
        <v>164</v>
      </c>
      <c r="B50" s="2">
        <v>46217</v>
      </c>
      <c r="C50" t="s">
        <v>165</v>
      </c>
      <c r="D50" t="s">
        <v>72</v>
      </c>
      <c r="E50" t="s">
        <v>20</v>
      </c>
      <c r="F50" t="s">
        <v>99</v>
      </c>
      <c r="G50" t="s">
        <v>57</v>
      </c>
      <c r="H50">
        <v>2</v>
      </c>
      <c r="I50" s="7">
        <v>8100</v>
      </c>
      <c r="J50">
        <v>0.1</v>
      </c>
      <c r="K50">
        <v>3560</v>
      </c>
      <c r="L50">
        <v>356</v>
      </c>
      <c r="M50">
        <v>8341</v>
      </c>
      <c r="N50" t="s">
        <v>61</v>
      </c>
      <c r="O50" t="s">
        <v>46</v>
      </c>
      <c r="P50" t="s">
        <v>152</v>
      </c>
      <c r="Q50" t="s">
        <v>47</v>
      </c>
      <c r="R50" t="str">
        <f t="shared" si="2"/>
        <v>LOW</v>
      </c>
      <c r="S50" t="str">
        <f t="shared" si="3"/>
        <v>Low</v>
      </c>
    </row>
    <row r="51" spans="1:19" x14ac:dyDescent="0.25">
      <c r="A51" t="s">
        <v>162</v>
      </c>
      <c r="B51" s="2">
        <v>46044</v>
      </c>
      <c r="C51" t="s">
        <v>163</v>
      </c>
      <c r="D51" t="s">
        <v>87</v>
      </c>
      <c r="E51" t="s">
        <v>72</v>
      </c>
      <c r="F51" t="s">
        <v>21</v>
      </c>
      <c r="G51" t="s">
        <v>22</v>
      </c>
      <c r="H51">
        <v>4</v>
      </c>
      <c r="I51" s="7">
        <v>8100</v>
      </c>
      <c r="J51">
        <v>0</v>
      </c>
      <c r="K51">
        <v>224040</v>
      </c>
      <c r="L51">
        <v>0</v>
      </c>
      <c r="M51">
        <v>45322</v>
      </c>
      <c r="N51" t="s">
        <v>31</v>
      </c>
      <c r="O51" t="s">
        <v>46</v>
      </c>
      <c r="P51" t="s">
        <v>25</v>
      </c>
      <c r="Q51" t="s">
        <v>42</v>
      </c>
      <c r="R51" t="str">
        <f t="shared" si="2"/>
        <v>HIGH</v>
      </c>
      <c r="S51" t="str">
        <f t="shared" si="3"/>
        <v>Low</v>
      </c>
    </row>
    <row r="52" spans="1:19" x14ac:dyDescent="0.25">
      <c r="A52" t="s">
        <v>161</v>
      </c>
      <c r="B52" s="2">
        <v>46194</v>
      </c>
      <c r="C52" t="s">
        <v>138</v>
      </c>
      <c r="D52" t="s">
        <v>35</v>
      </c>
      <c r="E52" t="s">
        <v>20</v>
      </c>
      <c r="F52" t="s">
        <v>77</v>
      </c>
      <c r="G52" t="s">
        <v>51</v>
      </c>
      <c r="H52">
        <v>4</v>
      </c>
      <c r="I52" s="7">
        <v>8100</v>
      </c>
      <c r="J52">
        <v>0.1</v>
      </c>
      <c r="K52">
        <v>640</v>
      </c>
      <c r="L52">
        <v>64</v>
      </c>
      <c r="M52">
        <v>2924</v>
      </c>
      <c r="N52" t="s">
        <v>61</v>
      </c>
      <c r="O52" t="s">
        <v>52</v>
      </c>
      <c r="P52" t="s">
        <v>25</v>
      </c>
      <c r="Q52" t="s">
        <v>32</v>
      </c>
      <c r="R52" t="str">
        <f t="shared" si="2"/>
        <v>HIGH</v>
      </c>
      <c r="S52" t="str">
        <f t="shared" si="3"/>
        <v>Medium</v>
      </c>
    </row>
    <row r="53" spans="1:19" x14ac:dyDescent="0.25">
      <c r="A53" t="s">
        <v>159</v>
      </c>
      <c r="B53" s="2">
        <v>46160</v>
      </c>
      <c r="C53" t="s">
        <v>160</v>
      </c>
      <c r="D53" t="s">
        <v>38</v>
      </c>
      <c r="E53" t="s">
        <v>20</v>
      </c>
      <c r="F53" t="s">
        <v>119</v>
      </c>
      <c r="G53" t="s">
        <v>57</v>
      </c>
      <c r="H53">
        <v>4</v>
      </c>
      <c r="I53" s="7">
        <v>8100</v>
      </c>
      <c r="J53">
        <v>0.15</v>
      </c>
      <c r="K53">
        <v>3440</v>
      </c>
      <c r="L53">
        <v>516</v>
      </c>
      <c r="M53">
        <v>576</v>
      </c>
      <c r="N53" t="s">
        <v>31</v>
      </c>
      <c r="O53" t="s">
        <v>24</v>
      </c>
      <c r="P53" t="s">
        <v>25</v>
      </c>
      <c r="Q53" t="s">
        <v>62</v>
      </c>
      <c r="R53" t="str">
        <f t="shared" si="2"/>
        <v>LOW</v>
      </c>
      <c r="S53" t="str">
        <f t="shared" si="3"/>
        <v>Low</v>
      </c>
    </row>
    <row r="54" spans="1:19" x14ac:dyDescent="0.25">
      <c r="A54" t="s">
        <v>157</v>
      </c>
      <c r="B54" s="2">
        <v>46254</v>
      </c>
      <c r="C54" t="s">
        <v>158</v>
      </c>
      <c r="D54" t="s">
        <v>72</v>
      </c>
      <c r="E54" t="s">
        <v>273</v>
      </c>
      <c r="F54" t="s">
        <v>149</v>
      </c>
      <c r="G54" t="s">
        <v>22</v>
      </c>
      <c r="H54">
        <v>2</v>
      </c>
      <c r="I54" s="7">
        <v>8100</v>
      </c>
      <c r="J54">
        <v>0.15</v>
      </c>
      <c r="K54">
        <v>53320</v>
      </c>
      <c r="L54">
        <v>7998</v>
      </c>
      <c r="M54">
        <v>224040</v>
      </c>
      <c r="N54" t="s">
        <v>61</v>
      </c>
      <c r="O54" t="s">
        <v>24</v>
      </c>
      <c r="P54" t="s">
        <v>25</v>
      </c>
      <c r="Q54" t="s">
        <v>26</v>
      </c>
      <c r="R54" t="str">
        <f t="shared" si="2"/>
        <v>LOW</v>
      </c>
      <c r="S54" t="str">
        <f t="shared" si="3"/>
        <v>Low</v>
      </c>
    </row>
    <row r="55" spans="1:19" x14ac:dyDescent="0.25">
      <c r="A55" t="s">
        <v>155</v>
      </c>
      <c r="B55" s="2">
        <v>46203</v>
      </c>
      <c r="C55" t="s">
        <v>156</v>
      </c>
      <c r="D55" t="s">
        <v>68</v>
      </c>
      <c r="E55" t="s">
        <v>72</v>
      </c>
      <c r="F55" t="s">
        <v>65</v>
      </c>
      <c r="G55" t="s">
        <v>22</v>
      </c>
      <c r="H55">
        <v>2</v>
      </c>
      <c r="I55" s="7">
        <v>8100</v>
      </c>
      <c r="J55">
        <v>0.05</v>
      </c>
      <c r="K55">
        <v>8780</v>
      </c>
      <c r="L55">
        <v>439</v>
      </c>
      <c r="M55">
        <v>3204</v>
      </c>
      <c r="N55" t="s">
        <v>61</v>
      </c>
      <c r="O55" t="s">
        <v>41</v>
      </c>
      <c r="P55" t="s">
        <v>25</v>
      </c>
      <c r="Q55" t="s">
        <v>47</v>
      </c>
      <c r="R55" t="str">
        <f t="shared" si="2"/>
        <v>HIGH</v>
      </c>
      <c r="S55" t="str">
        <f t="shared" si="3"/>
        <v>High</v>
      </c>
    </row>
    <row r="56" spans="1:19" x14ac:dyDescent="0.25">
      <c r="A56" t="s">
        <v>153</v>
      </c>
      <c r="B56" s="2">
        <v>46205</v>
      </c>
      <c r="C56" t="s">
        <v>154</v>
      </c>
      <c r="D56" t="s">
        <v>87</v>
      </c>
      <c r="E56" t="s">
        <v>20</v>
      </c>
      <c r="F56" t="s">
        <v>107</v>
      </c>
      <c r="G56" t="s">
        <v>51</v>
      </c>
      <c r="H56">
        <v>2</v>
      </c>
      <c r="I56" s="7">
        <v>8100</v>
      </c>
      <c r="J56">
        <v>0</v>
      </c>
      <c r="K56">
        <v>1060</v>
      </c>
      <c r="L56">
        <v>0</v>
      </c>
      <c r="M56">
        <v>1584</v>
      </c>
      <c r="N56" t="s">
        <v>61</v>
      </c>
      <c r="O56" t="s">
        <v>41</v>
      </c>
      <c r="P56" t="s">
        <v>25</v>
      </c>
      <c r="Q56" t="s">
        <v>26</v>
      </c>
      <c r="R56" t="str">
        <f t="shared" si="2"/>
        <v>LOW</v>
      </c>
      <c r="S56" t="str">
        <f t="shared" si="3"/>
        <v>Low</v>
      </c>
    </row>
    <row r="57" spans="1:19" x14ac:dyDescent="0.25">
      <c r="A57" t="s">
        <v>150</v>
      </c>
      <c r="B57" s="2">
        <v>46137</v>
      </c>
      <c r="C57" t="s">
        <v>151</v>
      </c>
      <c r="D57" t="s">
        <v>104</v>
      </c>
      <c r="E57" t="s">
        <v>274</v>
      </c>
      <c r="F57" t="s">
        <v>73</v>
      </c>
      <c r="G57" t="s">
        <v>22</v>
      </c>
      <c r="H57">
        <v>5</v>
      </c>
      <c r="I57" s="7">
        <v>8100</v>
      </c>
      <c r="J57">
        <v>0.2</v>
      </c>
      <c r="K57">
        <v>14800</v>
      </c>
      <c r="L57">
        <v>2960</v>
      </c>
      <c r="M57">
        <v>8320</v>
      </c>
      <c r="N57" t="s">
        <v>61</v>
      </c>
      <c r="O57" t="s">
        <v>52</v>
      </c>
      <c r="P57" t="s">
        <v>152</v>
      </c>
      <c r="Q57" t="s">
        <v>42</v>
      </c>
      <c r="R57" t="str">
        <f t="shared" si="2"/>
        <v>LOW</v>
      </c>
      <c r="S57" t="str">
        <f t="shared" si="3"/>
        <v>Low</v>
      </c>
    </row>
    <row r="58" spans="1:19" x14ac:dyDescent="0.25">
      <c r="A58" t="s">
        <v>147</v>
      </c>
      <c r="B58" s="2">
        <v>46139</v>
      </c>
      <c r="C58" t="s">
        <v>148</v>
      </c>
      <c r="D58" t="s">
        <v>104</v>
      </c>
      <c r="E58" t="s">
        <v>274</v>
      </c>
      <c r="F58" t="s">
        <v>149</v>
      </c>
      <c r="G58" t="s">
        <v>22</v>
      </c>
      <c r="H58">
        <v>5</v>
      </c>
      <c r="I58" s="7">
        <v>8100</v>
      </c>
      <c r="J58">
        <v>0</v>
      </c>
      <c r="K58">
        <v>118750</v>
      </c>
      <c r="L58">
        <v>0</v>
      </c>
      <c r="M58">
        <v>5460</v>
      </c>
      <c r="N58" t="s">
        <v>23</v>
      </c>
      <c r="O58" t="s">
        <v>41</v>
      </c>
      <c r="P58" t="s">
        <v>25</v>
      </c>
      <c r="Q58" t="s">
        <v>42</v>
      </c>
      <c r="R58" t="str">
        <f t="shared" si="2"/>
        <v>HIGH</v>
      </c>
      <c r="S58" t="str">
        <f t="shared" si="3"/>
        <v>Low</v>
      </c>
    </row>
    <row r="59" spans="1:19" x14ac:dyDescent="0.25">
      <c r="A59" t="s">
        <v>146</v>
      </c>
      <c r="B59" s="2">
        <v>46190</v>
      </c>
      <c r="C59" t="s">
        <v>37</v>
      </c>
      <c r="D59" t="s">
        <v>55</v>
      </c>
      <c r="E59" t="s">
        <v>20</v>
      </c>
      <c r="F59" t="s">
        <v>90</v>
      </c>
      <c r="G59" t="s">
        <v>40</v>
      </c>
      <c r="H59">
        <v>4</v>
      </c>
      <c r="I59" s="7">
        <v>8100</v>
      </c>
      <c r="J59">
        <v>0.05</v>
      </c>
      <c r="K59">
        <v>25480</v>
      </c>
      <c r="L59">
        <v>1274</v>
      </c>
      <c r="M59">
        <v>88777.5</v>
      </c>
      <c r="N59" t="s">
        <v>31</v>
      </c>
      <c r="O59" t="s">
        <v>52</v>
      </c>
      <c r="P59" t="s">
        <v>25</v>
      </c>
      <c r="Q59" t="s">
        <v>32</v>
      </c>
      <c r="R59" t="str">
        <f t="shared" si="2"/>
        <v>HIGH</v>
      </c>
      <c r="S59" t="str">
        <f t="shared" si="3"/>
        <v>Low</v>
      </c>
    </row>
    <row r="60" spans="1:19" x14ac:dyDescent="0.25">
      <c r="A60" t="s">
        <v>144</v>
      </c>
      <c r="B60" s="2">
        <v>46085</v>
      </c>
      <c r="C60" t="s">
        <v>145</v>
      </c>
      <c r="D60" t="s">
        <v>35</v>
      </c>
      <c r="E60" t="s">
        <v>20</v>
      </c>
      <c r="F60" t="s">
        <v>92</v>
      </c>
      <c r="G60" t="s">
        <v>22</v>
      </c>
      <c r="H60">
        <v>2</v>
      </c>
      <c r="I60" s="7">
        <v>8100</v>
      </c>
      <c r="J60">
        <v>0</v>
      </c>
      <c r="K60">
        <v>22300</v>
      </c>
      <c r="L60">
        <v>0</v>
      </c>
      <c r="M60">
        <v>6600</v>
      </c>
      <c r="N60" t="s">
        <v>61</v>
      </c>
      <c r="O60" t="s">
        <v>24</v>
      </c>
      <c r="P60" t="s">
        <v>81</v>
      </c>
      <c r="Q60" t="s">
        <v>32</v>
      </c>
      <c r="R60" t="str">
        <f t="shared" si="2"/>
        <v>HIGH</v>
      </c>
      <c r="S60" t="str">
        <f t="shared" si="3"/>
        <v>High</v>
      </c>
    </row>
    <row r="61" spans="1:19" x14ac:dyDescent="0.25">
      <c r="A61" t="s">
        <v>142</v>
      </c>
      <c r="B61" s="2">
        <v>46191</v>
      </c>
      <c r="C61" t="s">
        <v>143</v>
      </c>
      <c r="D61" t="s">
        <v>55</v>
      </c>
      <c r="E61" t="s">
        <v>20</v>
      </c>
      <c r="F61" t="s">
        <v>69</v>
      </c>
      <c r="G61" t="s">
        <v>22</v>
      </c>
      <c r="H61">
        <v>4</v>
      </c>
      <c r="I61" s="7">
        <v>8100</v>
      </c>
      <c r="J61">
        <v>0.05</v>
      </c>
      <c r="K61">
        <v>13560</v>
      </c>
      <c r="L61">
        <v>678</v>
      </c>
      <c r="M61">
        <v>400</v>
      </c>
      <c r="N61" t="s">
        <v>61</v>
      </c>
      <c r="O61" t="s">
        <v>46</v>
      </c>
      <c r="P61" t="s">
        <v>25</v>
      </c>
      <c r="Q61" t="s">
        <v>62</v>
      </c>
      <c r="R61" t="str">
        <f t="shared" si="2"/>
        <v>HIGH</v>
      </c>
      <c r="S61" t="str">
        <f t="shared" si="3"/>
        <v>Low</v>
      </c>
    </row>
    <row r="62" spans="1:19" x14ac:dyDescent="0.25">
      <c r="A62" t="s">
        <v>139</v>
      </c>
      <c r="B62" s="2">
        <v>46133</v>
      </c>
      <c r="C62" t="s">
        <v>140</v>
      </c>
      <c r="D62" t="s">
        <v>72</v>
      </c>
      <c r="E62" t="s">
        <v>20</v>
      </c>
      <c r="F62" t="s">
        <v>141</v>
      </c>
      <c r="G62" t="s">
        <v>57</v>
      </c>
      <c r="H62">
        <v>1</v>
      </c>
      <c r="I62" s="7">
        <v>8100</v>
      </c>
      <c r="J62">
        <v>0.05</v>
      </c>
      <c r="K62">
        <v>1540</v>
      </c>
      <c r="L62">
        <v>77</v>
      </c>
      <c r="M62">
        <v>3840</v>
      </c>
      <c r="N62" t="s">
        <v>61</v>
      </c>
      <c r="O62" t="s">
        <v>24</v>
      </c>
      <c r="P62" t="s">
        <v>25</v>
      </c>
      <c r="Q62" t="s">
        <v>47</v>
      </c>
      <c r="R62" t="str">
        <f t="shared" si="2"/>
        <v>LOW</v>
      </c>
      <c r="S62" t="str">
        <f t="shared" si="3"/>
        <v>Low</v>
      </c>
    </row>
    <row r="63" spans="1:19" x14ac:dyDescent="0.25">
      <c r="A63" t="s">
        <v>137</v>
      </c>
      <c r="B63" s="2">
        <v>46130</v>
      </c>
      <c r="C63" t="s">
        <v>138</v>
      </c>
      <c r="D63" t="s">
        <v>38</v>
      </c>
      <c r="E63" t="s">
        <v>20</v>
      </c>
      <c r="F63" t="s">
        <v>90</v>
      </c>
      <c r="G63" t="s">
        <v>40</v>
      </c>
      <c r="H63">
        <v>3</v>
      </c>
      <c r="I63" s="7">
        <v>8100</v>
      </c>
      <c r="J63">
        <v>0.05</v>
      </c>
      <c r="K63">
        <v>19710</v>
      </c>
      <c r="L63">
        <v>985.5</v>
      </c>
      <c r="M63">
        <v>223668</v>
      </c>
      <c r="N63" t="s">
        <v>23</v>
      </c>
      <c r="O63" t="s">
        <v>41</v>
      </c>
      <c r="P63" t="s">
        <v>25</v>
      </c>
      <c r="Q63" t="s">
        <v>42</v>
      </c>
      <c r="R63" t="str">
        <f t="shared" si="2"/>
        <v>LOW</v>
      </c>
      <c r="S63" t="str">
        <f t="shared" si="3"/>
        <v>Low</v>
      </c>
    </row>
    <row r="64" spans="1:19" x14ac:dyDescent="0.25">
      <c r="A64" t="s">
        <v>135</v>
      </c>
      <c r="B64" s="2">
        <v>46182</v>
      </c>
      <c r="C64" t="s">
        <v>136</v>
      </c>
      <c r="D64" t="s">
        <v>38</v>
      </c>
      <c r="E64" t="s">
        <v>273</v>
      </c>
      <c r="F64" t="s">
        <v>77</v>
      </c>
      <c r="G64" t="s">
        <v>51</v>
      </c>
      <c r="H64">
        <v>1</v>
      </c>
      <c r="I64" s="7">
        <v>8100</v>
      </c>
      <c r="J64">
        <v>0.1</v>
      </c>
      <c r="K64">
        <v>200</v>
      </c>
      <c r="L64">
        <v>20</v>
      </c>
      <c r="M64">
        <v>299650</v>
      </c>
      <c r="N64" t="s">
        <v>23</v>
      </c>
      <c r="O64" t="s">
        <v>58</v>
      </c>
      <c r="P64" t="s">
        <v>25</v>
      </c>
      <c r="Q64" t="s">
        <v>47</v>
      </c>
      <c r="R64" t="str">
        <f t="shared" si="2"/>
        <v>HIGH</v>
      </c>
      <c r="S64" t="str">
        <f t="shared" si="3"/>
        <v>High</v>
      </c>
    </row>
    <row r="65" spans="1:19" x14ac:dyDescent="0.25">
      <c r="A65" t="s">
        <v>133</v>
      </c>
      <c r="B65" s="2">
        <v>46071</v>
      </c>
      <c r="C65" t="s">
        <v>134</v>
      </c>
      <c r="D65" t="s">
        <v>45</v>
      </c>
      <c r="E65" t="s">
        <v>272</v>
      </c>
      <c r="F65" t="s">
        <v>69</v>
      </c>
      <c r="G65" t="s">
        <v>22</v>
      </c>
      <c r="H65">
        <v>1</v>
      </c>
      <c r="I65" s="7">
        <v>8100</v>
      </c>
      <c r="J65">
        <v>0.2</v>
      </c>
      <c r="K65">
        <v>3130</v>
      </c>
      <c r="L65">
        <v>626</v>
      </c>
      <c r="M65">
        <v>44829</v>
      </c>
      <c r="N65" t="s">
        <v>23</v>
      </c>
      <c r="O65" t="s">
        <v>41</v>
      </c>
      <c r="P65" t="s">
        <v>25</v>
      </c>
      <c r="Q65" t="s">
        <v>62</v>
      </c>
      <c r="R65" t="str">
        <f t="shared" si="2"/>
        <v>HIGH</v>
      </c>
      <c r="S65" t="str">
        <f t="shared" si="3"/>
        <v>High</v>
      </c>
    </row>
    <row r="66" spans="1:19" x14ac:dyDescent="0.25">
      <c r="A66" t="s">
        <v>131</v>
      </c>
      <c r="B66" s="2">
        <v>46032</v>
      </c>
      <c r="C66" t="s">
        <v>132</v>
      </c>
      <c r="D66" t="s">
        <v>35</v>
      </c>
      <c r="E66" t="s">
        <v>20</v>
      </c>
      <c r="F66" t="s">
        <v>56</v>
      </c>
      <c r="G66" t="s">
        <v>57</v>
      </c>
      <c r="H66">
        <v>5</v>
      </c>
      <c r="I66" s="7">
        <v>8100</v>
      </c>
      <c r="J66">
        <v>0.1</v>
      </c>
      <c r="K66">
        <v>6550</v>
      </c>
      <c r="L66">
        <v>655</v>
      </c>
      <c r="M66">
        <v>722.5</v>
      </c>
      <c r="N66" t="s">
        <v>23</v>
      </c>
      <c r="O66" t="s">
        <v>58</v>
      </c>
      <c r="P66" t="s">
        <v>25</v>
      </c>
      <c r="Q66" t="s">
        <v>47</v>
      </c>
      <c r="R66" t="str">
        <f t="shared" si="2"/>
        <v>HIGH</v>
      </c>
      <c r="S66" t="str">
        <f t="shared" si="3"/>
        <v>Medium</v>
      </c>
    </row>
    <row r="67" spans="1:19" x14ac:dyDescent="0.25">
      <c r="A67" t="s">
        <v>128</v>
      </c>
      <c r="B67" s="2">
        <v>46112</v>
      </c>
      <c r="C67" t="s">
        <v>129</v>
      </c>
      <c r="D67" t="s">
        <v>38</v>
      </c>
      <c r="E67" t="s">
        <v>20</v>
      </c>
      <c r="F67" t="s">
        <v>130</v>
      </c>
      <c r="G67" t="s">
        <v>22</v>
      </c>
      <c r="H67">
        <v>1</v>
      </c>
      <c r="I67" s="7">
        <v>8100</v>
      </c>
      <c r="J67">
        <v>0.1</v>
      </c>
      <c r="K67">
        <v>10390</v>
      </c>
      <c r="L67">
        <v>1039</v>
      </c>
      <c r="M67">
        <v>2550</v>
      </c>
      <c r="N67" t="s">
        <v>61</v>
      </c>
      <c r="O67" t="s">
        <v>46</v>
      </c>
      <c r="P67" t="s">
        <v>25</v>
      </c>
      <c r="Q67" t="s">
        <v>26</v>
      </c>
      <c r="R67" t="str">
        <f t="shared" ref="R67:R102" si="4">IF(M66&gt;5000,"HIGH","LOW")</f>
        <v>LOW</v>
      </c>
      <c r="S67" t="str">
        <f t="shared" ref="S67:S102" si="5">IF(M66&gt;=50000,"High",IF(M66&gt;=25000,"Medium","Low"))</f>
        <v>Low</v>
      </c>
    </row>
    <row r="68" spans="1:19" x14ac:dyDescent="0.25">
      <c r="A68" t="s">
        <v>126</v>
      </c>
      <c r="B68" s="2">
        <v>46112</v>
      </c>
      <c r="C68" t="s">
        <v>127</v>
      </c>
      <c r="D68" t="s">
        <v>29</v>
      </c>
      <c r="E68" t="s">
        <v>20</v>
      </c>
      <c r="F68" t="s">
        <v>107</v>
      </c>
      <c r="G68" t="s">
        <v>51</v>
      </c>
      <c r="H68">
        <v>2</v>
      </c>
      <c r="I68" s="7">
        <v>8100</v>
      </c>
      <c r="J68">
        <v>0.15</v>
      </c>
      <c r="K68">
        <v>1040</v>
      </c>
      <c r="L68">
        <v>156</v>
      </c>
      <c r="M68">
        <v>33690</v>
      </c>
      <c r="N68" t="s">
        <v>31</v>
      </c>
      <c r="O68" t="s">
        <v>52</v>
      </c>
      <c r="P68" t="s">
        <v>25</v>
      </c>
      <c r="Q68" t="s">
        <v>47</v>
      </c>
      <c r="R68" t="str">
        <f t="shared" si="4"/>
        <v>LOW</v>
      </c>
      <c r="S68" t="str">
        <f t="shared" si="5"/>
        <v>Low</v>
      </c>
    </row>
    <row r="69" spans="1:19" x14ac:dyDescent="0.25">
      <c r="A69" t="s">
        <v>125</v>
      </c>
      <c r="B69" s="2">
        <v>46223</v>
      </c>
      <c r="C69" t="s">
        <v>113</v>
      </c>
      <c r="D69" t="s">
        <v>68</v>
      </c>
      <c r="E69" t="s">
        <v>20</v>
      </c>
      <c r="F69" t="s">
        <v>56</v>
      </c>
      <c r="G69" t="s">
        <v>57</v>
      </c>
      <c r="H69">
        <v>4</v>
      </c>
      <c r="I69" s="7">
        <v>8100</v>
      </c>
      <c r="J69">
        <v>0.1</v>
      </c>
      <c r="K69">
        <v>4360</v>
      </c>
      <c r="L69">
        <v>436</v>
      </c>
      <c r="M69">
        <v>472</v>
      </c>
      <c r="N69" t="s">
        <v>31</v>
      </c>
      <c r="O69" t="s">
        <v>46</v>
      </c>
      <c r="P69" t="s">
        <v>74</v>
      </c>
      <c r="Q69" t="s">
        <v>47</v>
      </c>
      <c r="R69" t="str">
        <f t="shared" si="4"/>
        <v>HIGH</v>
      </c>
      <c r="S69" t="str">
        <f t="shared" si="5"/>
        <v>Medium</v>
      </c>
    </row>
    <row r="70" spans="1:19" x14ac:dyDescent="0.25">
      <c r="A70" t="s">
        <v>124</v>
      </c>
      <c r="B70" s="2">
        <v>46113</v>
      </c>
      <c r="C70" t="s">
        <v>64</v>
      </c>
      <c r="D70" t="s">
        <v>29</v>
      </c>
      <c r="E70" t="s">
        <v>272</v>
      </c>
      <c r="F70" t="s">
        <v>39</v>
      </c>
      <c r="G70" t="s">
        <v>40</v>
      </c>
      <c r="H70">
        <v>2</v>
      </c>
      <c r="I70" s="7">
        <v>8100</v>
      </c>
      <c r="J70">
        <v>0</v>
      </c>
      <c r="K70">
        <v>17620</v>
      </c>
      <c r="L70">
        <v>0</v>
      </c>
      <c r="M70">
        <v>2450</v>
      </c>
      <c r="N70" t="s">
        <v>23</v>
      </c>
      <c r="O70" t="s">
        <v>52</v>
      </c>
      <c r="P70" t="s">
        <v>25</v>
      </c>
      <c r="Q70" t="s">
        <v>62</v>
      </c>
      <c r="R70" t="str">
        <f t="shared" si="4"/>
        <v>LOW</v>
      </c>
      <c r="S70" t="str">
        <f t="shared" si="5"/>
        <v>Low</v>
      </c>
    </row>
    <row r="71" spans="1:19" x14ac:dyDescent="0.25">
      <c r="A71" t="s">
        <v>123</v>
      </c>
      <c r="B71" s="2">
        <v>46172</v>
      </c>
      <c r="C71" t="s">
        <v>98</v>
      </c>
      <c r="D71" t="s">
        <v>19</v>
      </c>
      <c r="E71" t="s">
        <v>20</v>
      </c>
      <c r="F71" t="s">
        <v>65</v>
      </c>
      <c r="G71" t="s">
        <v>22</v>
      </c>
      <c r="H71">
        <v>5</v>
      </c>
      <c r="I71" s="7">
        <v>8100</v>
      </c>
      <c r="J71">
        <v>0.1</v>
      </c>
      <c r="K71">
        <v>20400</v>
      </c>
      <c r="L71">
        <v>2040</v>
      </c>
      <c r="M71">
        <v>10319</v>
      </c>
      <c r="N71" t="s">
        <v>31</v>
      </c>
      <c r="O71" t="s">
        <v>58</v>
      </c>
      <c r="P71" t="s">
        <v>25</v>
      </c>
      <c r="Q71" t="s">
        <v>42</v>
      </c>
      <c r="R71" t="str">
        <f t="shared" si="4"/>
        <v>LOW</v>
      </c>
      <c r="S71" t="str">
        <f t="shared" si="5"/>
        <v>Low</v>
      </c>
    </row>
    <row r="72" spans="1:19" x14ac:dyDescent="0.25">
      <c r="A72" t="s">
        <v>122</v>
      </c>
      <c r="B72" s="2">
        <v>46064</v>
      </c>
      <c r="C72" t="s">
        <v>28</v>
      </c>
      <c r="D72" t="s">
        <v>29</v>
      </c>
      <c r="E72" t="s">
        <v>272</v>
      </c>
      <c r="F72" t="s">
        <v>21</v>
      </c>
      <c r="G72" t="s">
        <v>22</v>
      </c>
      <c r="H72">
        <v>3</v>
      </c>
      <c r="I72" s="7">
        <v>8100</v>
      </c>
      <c r="J72">
        <v>0.1</v>
      </c>
      <c r="K72">
        <v>173940</v>
      </c>
      <c r="L72">
        <v>17394</v>
      </c>
      <c r="M72">
        <v>3960</v>
      </c>
      <c r="N72" t="s">
        <v>23</v>
      </c>
      <c r="O72" t="s">
        <v>46</v>
      </c>
      <c r="P72" t="s">
        <v>25</v>
      </c>
      <c r="Q72" t="s">
        <v>26</v>
      </c>
      <c r="R72" t="str">
        <f t="shared" si="4"/>
        <v>HIGH</v>
      </c>
      <c r="S72" t="str">
        <f t="shared" si="5"/>
        <v>Low</v>
      </c>
    </row>
    <row r="73" spans="1:19" x14ac:dyDescent="0.25">
      <c r="A73" t="s">
        <v>120</v>
      </c>
      <c r="B73" s="2">
        <v>46152</v>
      </c>
      <c r="C73" t="s">
        <v>121</v>
      </c>
      <c r="D73" t="s">
        <v>45</v>
      </c>
      <c r="E73" t="s">
        <v>20</v>
      </c>
      <c r="F73" t="s">
        <v>80</v>
      </c>
      <c r="G73" t="s">
        <v>57</v>
      </c>
      <c r="H73">
        <v>3</v>
      </c>
      <c r="I73" s="7">
        <v>8100</v>
      </c>
      <c r="J73">
        <v>0.1</v>
      </c>
      <c r="K73">
        <v>1980</v>
      </c>
      <c r="L73">
        <v>198</v>
      </c>
      <c r="M73">
        <v>2240</v>
      </c>
      <c r="N73" t="s">
        <v>23</v>
      </c>
      <c r="O73" t="s">
        <v>24</v>
      </c>
      <c r="P73" t="s">
        <v>25</v>
      </c>
      <c r="Q73" t="s">
        <v>42</v>
      </c>
      <c r="R73" t="str">
        <f t="shared" si="4"/>
        <v>LOW</v>
      </c>
      <c r="S73" t="str">
        <f t="shared" si="5"/>
        <v>Low</v>
      </c>
    </row>
    <row r="74" spans="1:19" x14ac:dyDescent="0.25">
      <c r="A74" t="s">
        <v>118</v>
      </c>
      <c r="B74" s="2">
        <v>46090</v>
      </c>
      <c r="C74" t="s">
        <v>71</v>
      </c>
      <c r="D74" t="s">
        <v>87</v>
      </c>
      <c r="E74" t="s">
        <v>20</v>
      </c>
      <c r="F74" t="s">
        <v>119</v>
      </c>
      <c r="G74" t="s">
        <v>57</v>
      </c>
      <c r="H74">
        <v>1</v>
      </c>
      <c r="I74" s="7">
        <v>8100</v>
      </c>
      <c r="J74">
        <v>0.05</v>
      </c>
      <c r="K74">
        <v>870</v>
      </c>
      <c r="L74">
        <v>43.5</v>
      </c>
      <c r="M74">
        <v>2116.5</v>
      </c>
      <c r="N74" t="s">
        <v>31</v>
      </c>
      <c r="O74" t="s">
        <v>58</v>
      </c>
      <c r="P74" t="s">
        <v>25</v>
      </c>
      <c r="Q74" t="s">
        <v>42</v>
      </c>
      <c r="R74" t="str">
        <f t="shared" si="4"/>
        <v>LOW</v>
      </c>
      <c r="S74" t="str">
        <f t="shared" si="5"/>
        <v>Low</v>
      </c>
    </row>
    <row r="75" spans="1:19" x14ac:dyDescent="0.25">
      <c r="A75" t="s">
        <v>116</v>
      </c>
      <c r="B75" s="2">
        <v>46095</v>
      </c>
      <c r="C75" t="s">
        <v>117</v>
      </c>
      <c r="D75" t="s">
        <v>68</v>
      </c>
      <c r="E75" t="s">
        <v>20</v>
      </c>
      <c r="F75" t="s">
        <v>39</v>
      </c>
      <c r="G75" t="s">
        <v>40</v>
      </c>
      <c r="H75">
        <v>1</v>
      </c>
      <c r="I75" s="7">
        <v>8100</v>
      </c>
      <c r="J75">
        <v>0.1</v>
      </c>
      <c r="K75">
        <v>9140</v>
      </c>
      <c r="L75">
        <v>914</v>
      </c>
      <c r="M75">
        <v>2970</v>
      </c>
      <c r="N75" t="s">
        <v>23</v>
      </c>
      <c r="O75" t="s">
        <v>41</v>
      </c>
      <c r="P75" t="s">
        <v>25</v>
      </c>
      <c r="Q75" t="s">
        <v>26</v>
      </c>
      <c r="R75" t="str">
        <f t="shared" si="4"/>
        <v>LOW</v>
      </c>
      <c r="S75" t="str">
        <f t="shared" si="5"/>
        <v>Low</v>
      </c>
    </row>
    <row r="76" spans="1:19" x14ac:dyDescent="0.25">
      <c r="A76" t="s">
        <v>114</v>
      </c>
      <c r="B76" s="2">
        <v>46167</v>
      </c>
      <c r="C76" t="s">
        <v>115</v>
      </c>
      <c r="D76" t="s">
        <v>104</v>
      </c>
      <c r="E76" t="s">
        <v>20</v>
      </c>
      <c r="F76" t="s">
        <v>99</v>
      </c>
      <c r="G76" t="s">
        <v>57</v>
      </c>
      <c r="H76">
        <v>1</v>
      </c>
      <c r="I76" s="7">
        <v>8100</v>
      </c>
      <c r="J76">
        <v>0.2</v>
      </c>
      <c r="K76">
        <v>1620</v>
      </c>
      <c r="L76">
        <v>324</v>
      </c>
      <c r="M76">
        <v>225</v>
      </c>
      <c r="N76" t="s">
        <v>31</v>
      </c>
      <c r="O76" t="s">
        <v>41</v>
      </c>
      <c r="P76" t="s">
        <v>81</v>
      </c>
      <c r="Q76" t="s">
        <v>42</v>
      </c>
      <c r="R76" t="str">
        <f t="shared" si="4"/>
        <v>LOW</v>
      </c>
      <c r="S76" t="str">
        <f t="shared" si="5"/>
        <v>Low</v>
      </c>
    </row>
    <row r="77" spans="1:19" x14ac:dyDescent="0.25">
      <c r="A77" t="s">
        <v>112</v>
      </c>
      <c r="B77" s="2">
        <v>46194</v>
      </c>
      <c r="C77" t="s">
        <v>113</v>
      </c>
      <c r="D77" t="s">
        <v>45</v>
      </c>
      <c r="E77" t="s">
        <v>20</v>
      </c>
      <c r="F77" t="s">
        <v>69</v>
      </c>
      <c r="G77" t="s">
        <v>22</v>
      </c>
      <c r="H77">
        <v>3</v>
      </c>
      <c r="I77" s="7">
        <v>8100</v>
      </c>
      <c r="J77">
        <v>0.05</v>
      </c>
      <c r="K77">
        <v>10440</v>
      </c>
      <c r="L77">
        <v>522</v>
      </c>
      <c r="M77">
        <v>2907</v>
      </c>
      <c r="N77" t="s">
        <v>61</v>
      </c>
      <c r="O77" t="s">
        <v>52</v>
      </c>
      <c r="P77" t="s">
        <v>25</v>
      </c>
      <c r="Q77" t="s">
        <v>42</v>
      </c>
      <c r="R77" t="str">
        <f t="shared" si="4"/>
        <v>LOW</v>
      </c>
      <c r="S77" t="str">
        <f t="shared" si="5"/>
        <v>Low</v>
      </c>
    </row>
    <row r="78" spans="1:19" x14ac:dyDescent="0.25">
      <c r="A78" t="s">
        <v>110</v>
      </c>
      <c r="B78" s="2">
        <v>46086</v>
      </c>
      <c r="C78" t="s">
        <v>111</v>
      </c>
      <c r="D78" t="s">
        <v>19</v>
      </c>
      <c r="E78" t="s">
        <v>20</v>
      </c>
      <c r="F78" t="s">
        <v>92</v>
      </c>
      <c r="G78" t="s">
        <v>22</v>
      </c>
      <c r="H78">
        <v>4</v>
      </c>
      <c r="I78" s="7">
        <v>8100</v>
      </c>
      <c r="J78">
        <v>0.2</v>
      </c>
      <c r="K78">
        <v>44360</v>
      </c>
      <c r="L78">
        <v>8872</v>
      </c>
      <c r="M78">
        <v>40992.5</v>
      </c>
      <c r="N78" t="s">
        <v>31</v>
      </c>
      <c r="O78" t="s">
        <v>24</v>
      </c>
      <c r="P78" t="s">
        <v>25</v>
      </c>
      <c r="Q78" t="s">
        <v>32</v>
      </c>
      <c r="R78" t="str">
        <f t="shared" si="4"/>
        <v>LOW</v>
      </c>
      <c r="S78" t="str">
        <f t="shared" si="5"/>
        <v>Low</v>
      </c>
    </row>
    <row r="79" spans="1:19" x14ac:dyDescent="0.25">
      <c r="A79" t="s">
        <v>108</v>
      </c>
      <c r="B79" s="2">
        <v>46063</v>
      </c>
      <c r="C79" t="s">
        <v>76</v>
      </c>
      <c r="D79" t="s">
        <v>29</v>
      </c>
      <c r="E79" t="s">
        <v>272</v>
      </c>
      <c r="F79" t="s">
        <v>109</v>
      </c>
      <c r="G79" t="s">
        <v>22</v>
      </c>
      <c r="H79">
        <v>4</v>
      </c>
      <c r="I79" s="7">
        <v>8100</v>
      </c>
      <c r="J79">
        <v>0.2</v>
      </c>
      <c r="K79">
        <v>26000</v>
      </c>
      <c r="L79">
        <v>5200</v>
      </c>
      <c r="M79">
        <v>62820</v>
      </c>
      <c r="N79" t="s">
        <v>31</v>
      </c>
      <c r="O79" t="s">
        <v>46</v>
      </c>
      <c r="P79" t="s">
        <v>25</v>
      </c>
      <c r="Q79" t="s">
        <v>32</v>
      </c>
      <c r="R79" t="str">
        <f t="shared" si="4"/>
        <v>HIGH</v>
      </c>
      <c r="S79" t="str">
        <f t="shared" si="5"/>
        <v>Medium</v>
      </c>
    </row>
    <row r="80" spans="1:19" x14ac:dyDescent="0.25">
      <c r="A80" t="s">
        <v>105</v>
      </c>
      <c r="B80" s="2">
        <v>46037</v>
      </c>
      <c r="C80" t="s">
        <v>106</v>
      </c>
      <c r="D80" t="s">
        <v>87</v>
      </c>
      <c r="E80" t="s">
        <v>72</v>
      </c>
      <c r="F80" t="s">
        <v>107</v>
      </c>
      <c r="G80" t="s">
        <v>51</v>
      </c>
      <c r="H80">
        <v>2</v>
      </c>
      <c r="I80" s="7">
        <v>8100</v>
      </c>
      <c r="J80">
        <v>0.05</v>
      </c>
      <c r="K80">
        <v>1040</v>
      </c>
      <c r="L80">
        <v>52</v>
      </c>
      <c r="M80">
        <v>1431</v>
      </c>
      <c r="N80" t="s">
        <v>23</v>
      </c>
      <c r="O80" t="s">
        <v>58</v>
      </c>
      <c r="P80" t="s">
        <v>25</v>
      </c>
      <c r="Q80" t="s">
        <v>26</v>
      </c>
      <c r="R80" t="str">
        <f t="shared" si="4"/>
        <v>HIGH</v>
      </c>
      <c r="S80" t="str">
        <f t="shared" si="5"/>
        <v>High</v>
      </c>
    </row>
    <row r="81" spans="1:19" x14ac:dyDescent="0.25">
      <c r="A81" t="s">
        <v>102</v>
      </c>
      <c r="B81" s="2">
        <v>46120</v>
      </c>
      <c r="C81" t="s">
        <v>103</v>
      </c>
      <c r="D81" t="s">
        <v>104</v>
      </c>
      <c r="E81" t="s">
        <v>72</v>
      </c>
      <c r="F81" t="s">
        <v>80</v>
      </c>
      <c r="G81" t="s">
        <v>57</v>
      </c>
      <c r="H81">
        <v>4</v>
      </c>
      <c r="I81" s="7">
        <v>8100</v>
      </c>
      <c r="J81">
        <v>0.05</v>
      </c>
      <c r="K81">
        <v>3040</v>
      </c>
      <c r="L81">
        <v>152</v>
      </c>
      <c r="M81">
        <v>40144</v>
      </c>
      <c r="N81" t="s">
        <v>61</v>
      </c>
      <c r="O81" t="s">
        <v>58</v>
      </c>
      <c r="P81" t="s">
        <v>25</v>
      </c>
      <c r="Q81" t="s">
        <v>47</v>
      </c>
      <c r="R81" t="str">
        <f t="shared" si="4"/>
        <v>LOW</v>
      </c>
      <c r="S81" t="str">
        <f t="shared" si="5"/>
        <v>Low</v>
      </c>
    </row>
    <row r="82" spans="1:19" x14ac:dyDescent="0.25">
      <c r="A82" t="s">
        <v>100</v>
      </c>
      <c r="B82" s="2">
        <v>46237</v>
      </c>
      <c r="C82" t="s">
        <v>101</v>
      </c>
      <c r="D82" t="s">
        <v>19</v>
      </c>
      <c r="E82" t="s">
        <v>20</v>
      </c>
      <c r="F82" t="s">
        <v>50</v>
      </c>
      <c r="G82" t="s">
        <v>51</v>
      </c>
      <c r="H82">
        <v>5</v>
      </c>
      <c r="I82" s="7">
        <v>8100</v>
      </c>
      <c r="J82">
        <v>0.2</v>
      </c>
      <c r="K82">
        <v>1150</v>
      </c>
      <c r="L82">
        <v>230</v>
      </c>
      <c r="M82">
        <v>2924</v>
      </c>
      <c r="N82" t="s">
        <v>31</v>
      </c>
      <c r="O82" t="s">
        <v>24</v>
      </c>
      <c r="P82" t="s">
        <v>25</v>
      </c>
      <c r="Q82" t="s">
        <v>47</v>
      </c>
      <c r="R82" t="str">
        <f t="shared" si="4"/>
        <v>HIGH</v>
      </c>
      <c r="S82" t="str">
        <f t="shared" si="5"/>
        <v>Medium</v>
      </c>
    </row>
    <row r="83" spans="1:19" x14ac:dyDescent="0.25">
      <c r="A83" t="s">
        <v>97</v>
      </c>
      <c r="B83" s="2">
        <v>46160</v>
      </c>
      <c r="C83" t="s">
        <v>98</v>
      </c>
      <c r="D83" t="s">
        <v>72</v>
      </c>
      <c r="E83" t="s">
        <v>273</v>
      </c>
      <c r="F83" t="s">
        <v>99</v>
      </c>
      <c r="G83" t="s">
        <v>57</v>
      </c>
      <c r="H83">
        <v>1</v>
      </c>
      <c r="I83" s="7">
        <v>8100</v>
      </c>
      <c r="J83">
        <v>0.05</v>
      </c>
      <c r="K83">
        <v>1710</v>
      </c>
      <c r="L83">
        <v>85.5</v>
      </c>
      <c r="M83">
        <v>256452.5</v>
      </c>
      <c r="N83" t="s">
        <v>61</v>
      </c>
      <c r="O83" t="s">
        <v>24</v>
      </c>
      <c r="P83" t="s">
        <v>25</v>
      </c>
      <c r="Q83" t="s">
        <v>62</v>
      </c>
      <c r="R83" t="str">
        <f t="shared" si="4"/>
        <v>LOW</v>
      </c>
      <c r="S83" t="str">
        <f t="shared" si="5"/>
        <v>Low</v>
      </c>
    </row>
    <row r="84" spans="1:19" x14ac:dyDescent="0.25">
      <c r="A84" t="s">
        <v>95</v>
      </c>
      <c r="B84" s="2">
        <v>46113</v>
      </c>
      <c r="C84" t="s">
        <v>96</v>
      </c>
      <c r="D84" t="s">
        <v>72</v>
      </c>
      <c r="E84" t="s">
        <v>20</v>
      </c>
      <c r="F84" t="s">
        <v>80</v>
      </c>
      <c r="G84" t="s">
        <v>57</v>
      </c>
      <c r="H84">
        <v>1</v>
      </c>
      <c r="I84" s="7">
        <v>8100</v>
      </c>
      <c r="J84">
        <v>0.15</v>
      </c>
      <c r="K84">
        <v>640</v>
      </c>
      <c r="L84">
        <v>96</v>
      </c>
      <c r="M84">
        <v>8032.5</v>
      </c>
      <c r="N84" t="s">
        <v>23</v>
      </c>
      <c r="O84" t="s">
        <v>46</v>
      </c>
      <c r="P84" t="s">
        <v>25</v>
      </c>
      <c r="Q84" t="s">
        <v>26</v>
      </c>
      <c r="R84" t="str">
        <f t="shared" si="4"/>
        <v>HIGH</v>
      </c>
      <c r="S84" t="str">
        <f t="shared" si="5"/>
        <v>High</v>
      </c>
    </row>
    <row r="85" spans="1:19" x14ac:dyDescent="0.25">
      <c r="A85" t="s">
        <v>93</v>
      </c>
      <c r="B85" s="2">
        <v>46161</v>
      </c>
      <c r="C85" t="s">
        <v>94</v>
      </c>
      <c r="D85" t="s">
        <v>87</v>
      </c>
      <c r="E85" t="s">
        <v>273</v>
      </c>
      <c r="F85" t="s">
        <v>92</v>
      </c>
      <c r="G85" t="s">
        <v>22</v>
      </c>
      <c r="H85">
        <v>3</v>
      </c>
      <c r="I85" s="7">
        <v>8100</v>
      </c>
      <c r="J85">
        <v>0.05</v>
      </c>
      <c r="K85">
        <v>37230</v>
      </c>
      <c r="L85">
        <v>1861.5</v>
      </c>
      <c r="M85">
        <v>3655</v>
      </c>
      <c r="N85" t="s">
        <v>61</v>
      </c>
      <c r="O85" t="s">
        <v>52</v>
      </c>
      <c r="P85" t="s">
        <v>25</v>
      </c>
      <c r="Q85" t="s">
        <v>47</v>
      </c>
      <c r="R85" t="str">
        <f t="shared" si="4"/>
        <v>HIGH</v>
      </c>
      <c r="S85" t="str">
        <f t="shared" si="5"/>
        <v>Low</v>
      </c>
    </row>
    <row r="86" spans="1:19" x14ac:dyDescent="0.25">
      <c r="A86" t="s">
        <v>91</v>
      </c>
      <c r="B86" s="2">
        <v>46204</v>
      </c>
      <c r="C86" t="s">
        <v>89</v>
      </c>
      <c r="D86" t="s">
        <v>87</v>
      </c>
      <c r="E86" t="s">
        <v>274</v>
      </c>
      <c r="F86" t="s">
        <v>92</v>
      </c>
      <c r="G86" t="s">
        <v>22</v>
      </c>
      <c r="H86">
        <v>5</v>
      </c>
      <c r="I86" s="7">
        <v>8100</v>
      </c>
      <c r="J86">
        <v>0</v>
      </c>
      <c r="K86">
        <v>56650</v>
      </c>
      <c r="L86">
        <v>0</v>
      </c>
      <c r="M86">
        <v>23698</v>
      </c>
      <c r="N86" t="s">
        <v>31</v>
      </c>
      <c r="O86" t="s">
        <v>58</v>
      </c>
      <c r="P86" t="s">
        <v>25</v>
      </c>
      <c r="Q86" t="s">
        <v>26</v>
      </c>
      <c r="R86" t="str">
        <f t="shared" si="4"/>
        <v>LOW</v>
      </c>
      <c r="S86" t="str">
        <f t="shared" si="5"/>
        <v>Low</v>
      </c>
    </row>
    <row r="87" spans="1:19" x14ac:dyDescent="0.25">
      <c r="A87" t="s">
        <v>88</v>
      </c>
      <c r="B87" s="2">
        <v>46138</v>
      </c>
      <c r="C87" t="s">
        <v>89</v>
      </c>
      <c r="D87" t="s">
        <v>35</v>
      </c>
      <c r="E87" t="s">
        <v>20</v>
      </c>
      <c r="F87" t="s">
        <v>90</v>
      </c>
      <c r="G87" t="s">
        <v>40</v>
      </c>
      <c r="H87">
        <v>3</v>
      </c>
      <c r="I87" s="7">
        <v>8100</v>
      </c>
      <c r="J87">
        <v>0.2</v>
      </c>
      <c r="K87">
        <v>19260</v>
      </c>
      <c r="L87">
        <v>3852</v>
      </c>
      <c r="M87">
        <v>1349</v>
      </c>
      <c r="N87" t="s">
        <v>61</v>
      </c>
      <c r="O87" t="s">
        <v>46</v>
      </c>
      <c r="P87" t="s">
        <v>25</v>
      </c>
      <c r="Q87" t="s">
        <v>32</v>
      </c>
      <c r="R87" t="str">
        <f t="shared" si="4"/>
        <v>HIGH</v>
      </c>
      <c r="S87" t="str">
        <f t="shared" si="5"/>
        <v>Low</v>
      </c>
    </row>
    <row r="88" spans="1:19" x14ac:dyDescent="0.25">
      <c r="A88" t="s">
        <v>85</v>
      </c>
      <c r="B88" s="2">
        <v>46065</v>
      </c>
      <c r="C88" t="s">
        <v>86</v>
      </c>
      <c r="D88" t="s">
        <v>87</v>
      </c>
      <c r="E88" t="s">
        <v>72</v>
      </c>
      <c r="F88" t="s">
        <v>65</v>
      </c>
      <c r="G88" t="s">
        <v>22</v>
      </c>
      <c r="H88">
        <v>2</v>
      </c>
      <c r="I88" s="7">
        <v>8100</v>
      </c>
      <c r="J88">
        <v>0.2</v>
      </c>
      <c r="K88">
        <v>9280</v>
      </c>
      <c r="L88">
        <v>1856</v>
      </c>
      <c r="M88">
        <v>18696</v>
      </c>
      <c r="N88" t="s">
        <v>31</v>
      </c>
      <c r="O88" t="s">
        <v>41</v>
      </c>
      <c r="P88" t="s">
        <v>25</v>
      </c>
      <c r="Q88" t="s">
        <v>62</v>
      </c>
      <c r="R88" t="str">
        <f t="shared" si="4"/>
        <v>LOW</v>
      </c>
      <c r="S88" t="str">
        <f t="shared" si="5"/>
        <v>Low</v>
      </c>
    </row>
    <row r="89" spans="1:19" x14ac:dyDescent="0.25">
      <c r="A89" t="s">
        <v>82</v>
      </c>
      <c r="B89" s="2">
        <v>46084</v>
      </c>
      <c r="C89" t="s">
        <v>83</v>
      </c>
      <c r="D89" t="s">
        <v>29</v>
      </c>
      <c r="E89" t="s">
        <v>272</v>
      </c>
      <c r="F89" t="s">
        <v>84</v>
      </c>
      <c r="G89" t="s">
        <v>22</v>
      </c>
      <c r="H89">
        <v>3</v>
      </c>
      <c r="I89" s="7">
        <v>8100</v>
      </c>
      <c r="J89">
        <v>0.1</v>
      </c>
      <c r="K89">
        <v>8070</v>
      </c>
      <c r="L89">
        <v>807</v>
      </c>
      <c r="M89">
        <v>102619</v>
      </c>
      <c r="N89" t="s">
        <v>31</v>
      </c>
      <c r="O89" t="s">
        <v>24</v>
      </c>
      <c r="P89" t="s">
        <v>25</v>
      </c>
      <c r="Q89" t="s">
        <v>26</v>
      </c>
      <c r="R89" t="str">
        <f t="shared" si="4"/>
        <v>HIGH</v>
      </c>
      <c r="S89" t="str">
        <f t="shared" si="5"/>
        <v>Low</v>
      </c>
    </row>
    <row r="90" spans="1:19" x14ac:dyDescent="0.25">
      <c r="A90" t="s">
        <v>78</v>
      </c>
      <c r="B90" s="2">
        <v>46161</v>
      </c>
      <c r="C90" t="s">
        <v>79</v>
      </c>
      <c r="D90" t="s">
        <v>45</v>
      </c>
      <c r="E90" t="s">
        <v>20</v>
      </c>
      <c r="F90" t="s">
        <v>80</v>
      </c>
      <c r="G90" t="s">
        <v>57</v>
      </c>
      <c r="H90">
        <v>2</v>
      </c>
      <c r="I90" s="7">
        <v>8100</v>
      </c>
      <c r="J90">
        <v>0.05</v>
      </c>
      <c r="K90">
        <v>1360</v>
      </c>
      <c r="L90">
        <v>68</v>
      </c>
      <c r="M90">
        <v>5950</v>
      </c>
      <c r="N90" t="s">
        <v>23</v>
      </c>
      <c r="O90" t="s">
        <v>58</v>
      </c>
      <c r="P90" t="s">
        <v>81</v>
      </c>
      <c r="Q90" t="s">
        <v>47</v>
      </c>
      <c r="R90" t="str">
        <f t="shared" si="4"/>
        <v>HIGH</v>
      </c>
      <c r="S90" t="str">
        <f t="shared" si="5"/>
        <v>High</v>
      </c>
    </row>
    <row r="91" spans="1:19" x14ac:dyDescent="0.25">
      <c r="A91" t="s">
        <v>75</v>
      </c>
      <c r="B91" s="2">
        <v>46151</v>
      </c>
      <c r="C91" t="s">
        <v>76</v>
      </c>
      <c r="D91" t="s">
        <v>35</v>
      </c>
      <c r="E91" t="s">
        <v>20</v>
      </c>
      <c r="F91" t="s">
        <v>77</v>
      </c>
      <c r="G91" t="s">
        <v>51</v>
      </c>
      <c r="H91">
        <v>2</v>
      </c>
      <c r="I91" s="7">
        <v>8100</v>
      </c>
      <c r="J91">
        <v>0.1</v>
      </c>
      <c r="K91">
        <v>360</v>
      </c>
      <c r="L91">
        <v>36</v>
      </c>
      <c r="M91">
        <v>190</v>
      </c>
      <c r="N91" t="s">
        <v>23</v>
      </c>
      <c r="O91" t="s">
        <v>58</v>
      </c>
      <c r="P91" t="s">
        <v>25</v>
      </c>
      <c r="Q91" t="s">
        <v>32</v>
      </c>
      <c r="R91" t="str">
        <f t="shared" si="4"/>
        <v>HIGH</v>
      </c>
      <c r="S91" t="str">
        <f t="shared" si="5"/>
        <v>Low</v>
      </c>
    </row>
    <row r="92" spans="1:19" x14ac:dyDescent="0.25">
      <c r="A92" t="s">
        <v>70</v>
      </c>
      <c r="B92" s="2">
        <v>46243</v>
      </c>
      <c r="C92" t="s">
        <v>71</v>
      </c>
      <c r="D92" t="s">
        <v>72</v>
      </c>
      <c r="E92" t="s">
        <v>20</v>
      </c>
      <c r="F92" t="s">
        <v>73</v>
      </c>
      <c r="G92" t="s">
        <v>22</v>
      </c>
      <c r="H92">
        <v>4</v>
      </c>
      <c r="I92" s="7">
        <v>8100</v>
      </c>
      <c r="J92">
        <v>0.2</v>
      </c>
      <c r="K92">
        <v>12080</v>
      </c>
      <c r="L92">
        <v>2416</v>
      </c>
      <c r="M92">
        <v>23883</v>
      </c>
      <c r="N92" t="s">
        <v>61</v>
      </c>
      <c r="O92" t="s">
        <v>58</v>
      </c>
      <c r="P92" t="s">
        <v>74</v>
      </c>
      <c r="Q92" t="s">
        <v>26</v>
      </c>
      <c r="R92" t="str">
        <f t="shared" si="4"/>
        <v>LOW</v>
      </c>
      <c r="S92" t="str">
        <f t="shared" si="5"/>
        <v>Low</v>
      </c>
    </row>
    <row r="93" spans="1:19" x14ac:dyDescent="0.25">
      <c r="A93" t="s">
        <v>66</v>
      </c>
      <c r="B93" s="2">
        <v>46243</v>
      </c>
      <c r="C93" t="s">
        <v>67</v>
      </c>
      <c r="D93" t="s">
        <v>68</v>
      </c>
      <c r="E93" t="s">
        <v>72</v>
      </c>
      <c r="F93" t="s">
        <v>69</v>
      </c>
      <c r="G93" t="s">
        <v>22</v>
      </c>
      <c r="H93">
        <v>4</v>
      </c>
      <c r="I93" s="7">
        <v>8100</v>
      </c>
      <c r="J93">
        <v>0</v>
      </c>
      <c r="K93">
        <v>11760</v>
      </c>
      <c r="L93">
        <v>0</v>
      </c>
      <c r="M93">
        <v>4800</v>
      </c>
      <c r="N93" t="s">
        <v>23</v>
      </c>
      <c r="O93" t="s">
        <v>46</v>
      </c>
      <c r="P93" t="s">
        <v>25</v>
      </c>
      <c r="Q93" t="s">
        <v>47</v>
      </c>
      <c r="R93" t="str">
        <f t="shared" si="4"/>
        <v>HIGH</v>
      </c>
      <c r="S93" t="str">
        <f t="shared" si="5"/>
        <v>Low</v>
      </c>
    </row>
    <row r="94" spans="1:19" x14ac:dyDescent="0.25">
      <c r="A94" t="s">
        <v>63</v>
      </c>
      <c r="B94" s="2">
        <v>46090</v>
      </c>
      <c r="C94" t="s">
        <v>64</v>
      </c>
      <c r="D94" t="s">
        <v>35</v>
      </c>
      <c r="E94" t="s">
        <v>20</v>
      </c>
      <c r="F94" t="s">
        <v>65</v>
      </c>
      <c r="G94" t="s">
        <v>22</v>
      </c>
      <c r="H94">
        <v>2</v>
      </c>
      <c r="I94" s="7">
        <v>8100</v>
      </c>
      <c r="J94">
        <v>0.2</v>
      </c>
      <c r="K94">
        <v>9440</v>
      </c>
      <c r="L94">
        <v>1888</v>
      </c>
      <c r="M94">
        <v>2628</v>
      </c>
      <c r="N94" t="s">
        <v>61</v>
      </c>
      <c r="O94" t="s">
        <v>58</v>
      </c>
      <c r="P94" t="s">
        <v>25</v>
      </c>
      <c r="Q94" t="s">
        <v>62</v>
      </c>
      <c r="R94" t="str">
        <f t="shared" si="4"/>
        <v>LOW</v>
      </c>
      <c r="S94" t="str">
        <f t="shared" si="5"/>
        <v>Low</v>
      </c>
    </row>
    <row r="95" spans="1:19" x14ac:dyDescent="0.25">
      <c r="A95" t="s">
        <v>59</v>
      </c>
      <c r="B95" s="2">
        <v>46247</v>
      </c>
      <c r="C95" t="s">
        <v>60</v>
      </c>
      <c r="D95" t="s">
        <v>35</v>
      </c>
      <c r="E95" t="s">
        <v>72</v>
      </c>
      <c r="F95" t="s">
        <v>30</v>
      </c>
      <c r="G95" t="s">
        <v>22</v>
      </c>
      <c r="H95">
        <v>2</v>
      </c>
      <c r="I95" s="7">
        <v>8100</v>
      </c>
      <c r="J95">
        <v>0.2</v>
      </c>
      <c r="K95">
        <v>38980</v>
      </c>
      <c r="L95">
        <v>7796</v>
      </c>
      <c r="M95">
        <v>416</v>
      </c>
      <c r="N95" t="s">
        <v>61</v>
      </c>
      <c r="O95" t="s">
        <v>24</v>
      </c>
      <c r="P95" t="s">
        <v>25</v>
      </c>
      <c r="Q95" t="s">
        <v>62</v>
      </c>
      <c r="R95" t="str">
        <f t="shared" si="4"/>
        <v>LOW</v>
      </c>
      <c r="S95" t="str">
        <f t="shared" si="5"/>
        <v>Low</v>
      </c>
    </row>
    <row r="96" spans="1:19" x14ac:dyDescent="0.25">
      <c r="A96" t="s">
        <v>53</v>
      </c>
      <c r="B96" s="2">
        <v>46079</v>
      </c>
      <c r="C96" t="s">
        <v>54</v>
      </c>
      <c r="D96" t="s">
        <v>55</v>
      </c>
      <c r="E96" t="s">
        <v>20</v>
      </c>
      <c r="F96" t="s">
        <v>56</v>
      </c>
      <c r="G96" t="s">
        <v>57</v>
      </c>
      <c r="H96">
        <v>4</v>
      </c>
      <c r="I96" s="7">
        <v>8100</v>
      </c>
      <c r="J96">
        <v>0.2</v>
      </c>
      <c r="K96">
        <v>4680</v>
      </c>
      <c r="L96">
        <v>936</v>
      </c>
      <c r="M96">
        <v>5975.5</v>
      </c>
      <c r="N96" t="s">
        <v>31</v>
      </c>
      <c r="O96" t="s">
        <v>58</v>
      </c>
      <c r="P96" t="s">
        <v>25</v>
      </c>
      <c r="Q96" t="s">
        <v>47</v>
      </c>
      <c r="R96" t="str">
        <f t="shared" si="4"/>
        <v>LOW</v>
      </c>
      <c r="S96" t="str">
        <f t="shared" si="5"/>
        <v>Low</v>
      </c>
    </row>
    <row r="97" spans="1:19" x14ac:dyDescent="0.25">
      <c r="A97" t="s">
        <v>48</v>
      </c>
      <c r="B97" s="2">
        <v>46076</v>
      </c>
      <c r="C97" t="s">
        <v>49</v>
      </c>
      <c r="D97" t="s">
        <v>35</v>
      </c>
      <c r="E97" t="s">
        <v>20</v>
      </c>
      <c r="F97" t="s">
        <v>50</v>
      </c>
      <c r="G97" t="s">
        <v>51</v>
      </c>
      <c r="H97">
        <v>3</v>
      </c>
      <c r="I97" s="7">
        <v>8100</v>
      </c>
      <c r="J97">
        <v>0.1</v>
      </c>
      <c r="K97">
        <v>690</v>
      </c>
      <c r="L97">
        <v>69</v>
      </c>
      <c r="M97">
        <v>8863.5</v>
      </c>
      <c r="N97" t="s">
        <v>23</v>
      </c>
      <c r="O97" t="s">
        <v>52</v>
      </c>
      <c r="P97" t="s">
        <v>25</v>
      </c>
      <c r="Q97" t="s">
        <v>32</v>
      </c>
      <c r="R97" t="str">
        <f t="shared" si="4"/>
        <v>HIGH</v>
      </c>
      <c r="S97" t="str">
        <f t="shared" si="5"/>
        <v>Low</v>
      </c>
    </row>
    <row r="98" spans="1:19" x14ac:dyDescent="0.25">
      <c r="A98" t="s">
        <v>43</v>
      </c>
      <c r="B98" s="2">
        <v>46034</v>
      </c>
      <c r="C98" t="s">
        <v>44</v>
      </c>
      <c r="D98" t="s">
        <v>45</v>
      </c>
      <c r="E98" t="s">
        <v>20</v>
      </c>
      <c r="F98" t="s">
        <v>39</v>
      </c>
      <c r="G98" t="s">
        <v>40</v>
      </c>
      <c r="H98">
        <v>5</v>
      </c>
      <c r="I98" s="7">
        <v>8100</v>
      </c>
      <c r="J98">
        <v>0</v>
      </c>
      <c r="K98">
        <v>39900</v>
      </c>
      <c r="L98">
        <v>0</v>
      </c>
      <c r="M98">
        <v>4383</v>
      </c>
      <c r="N98" t="s">
        <v>31</v>
      </c>
      <c r="O98" t="s">
        <v>46</v>
      </c>
      <c r="P98" t="s">
        <v>25</v>
      </c>
      <c r="Q98" t="s">
        <v>47</v>
      </c>
      <c r="R98" t="str">
        <f t="shared" si="4"/>
        <v>HIGH</v>
      </c>
      <c r="S98" t="str">
        <f t="shared" si="5"/>
        <v>Low</v>
      </c>
    </row>
    <row r="99" spans="1:19" x14ac:dyDescent="0.25">
      <c r="A99" t="s">
        <v>36</v>
      </c>
      <c r="B99" s="2">
        <v>46209</v>
      </c>
      <c r="C99" t="s">
        <v>37</v>
      </c>
      <c r="D99" t="s">
        <v>38</v>
      </c>
      <c r="E99" t="s">
        <v>273</v>
      </c>
      <c r="F99" t="s">
        <v>39</v>
      </c>
      <c r="G99" t="s">
        <v>40</v>
      </c>
      <c r="H99">
        <v>5</v>
      </c>
      <c r="I99" s="7">
        <v>8100</v>
      </c>
      <c r="J99">
        <v>0</v>
      </c>
      <c r="K99">
        <v>40500</v>
      </c>
      <c r="L99">
        <v>0</v>
      </c>
      <c r="M99">
        <v>15368</v>
      </c>
      <c r="N99" t="s">
        <v>31</v>
      </c>
      <c r="O99" t="s">
        <v>41</v>
      </c>
      <c r="P99" t="s">
        <v>25</v>
      </c>
      <c r="Q99" t="s">
        <v>42</v>
      </c>
      <c r="R99" t="str">
        <f t="shared" si="4"/>
        <v>LOW</v>
      </c>
      <c r="S99" t="str">
        <f t="shared" si="5"/>
        <v>Low</v>
      </c>
    </row>
    <row r="100" spans="1:19" x14ac:dyDescent="0.25">
      <c r="A100" t="s">
        <v>33</v>
      </c>
      <c r="B100" s="2">
        <v>46094</v>
      </c>
      <c r="C100" t="s">
        <v>34</v>
      </c>
      <c r="D100" t="s">
        <v>35</v>
      </c>
      <c r="E100" t="s">
        <v>20</v>
      </c>
      <c r="F100" t="s">
        <v>21</v>
      </c>
      <c r="G100" t="s">
        <v>22</v>
      </c>
      <c r="H100">
        <v>2</v>
      </c>
      <c r="I100" s="7">
        <v>8100</v>
      </c>
      <c r="J100">
        <v>0.1</v>
      </c>
      <c r="K100">
        <v>114360</v>
      </c>
      <c r="L100">
        <v>11436</v>
      </c>
      <c r="M100">
        <v>26902.5</v>
      </c>
      <c r="N100" t="s">
        <v>31</v>
      </c>
      <c r="O100" t="s">
        <v>24</v>
      </c>
      <c r="P100" t="s">
        <v>25</v>
      </c>
      <c r="Q100" t="s">
        <v>26</v>
      </c>
      <c r="R100" t="str">
        <f t="shared" si="4"/>
        <v>HIGH</v>
      </c>
      <c r="S100" t="str">
        <f t="shared" si="5"/>
        <v>Low</v>
      </c>
    </row>
    <row r="101" spans="1:19" x14ac:dyDescent="0.25">
      <c r="A101" t="s">
        <v>27</v>
      </c>
      <c r="B101" s="2">
        <v>46029</v>
      </c>
      <c r="C101" t="s">
        <v>28</v>
      </c>
      <c r="D101" t="s">
        <v>29</v>
      </c>
      <c r="E101" t="s">
        <v>72</v>
      </c>
      <c r="F101" t="s">
        <v>30</v>
      </c>
      <c r="G101" t="s">
        <v>22</v>
      </c>
      <c r="H101">
        <v>2</v>
      </c>
      <c r="I101" s="7">
        <v>8100</v>
      </c>
      <c r="J101">
        <v>0.2</v>
      </c>
      <c r="K101">
        <v>34080</v>
      </c>
      <c r="L101">
        <v>6816</v>
      </c>
      <c r="M101">
        <v>7480</v>
      </c>
      <c r="N101" t="s">
        <v>31</v>
      </c>
      <c r="O101" t="s">
        <v>24</v>
      </c>
      <c r="P101" t="s">
        <v>25</v>
      </c>
      <c r="Q101" t="s">
        <v>32</v>
      </c>
      <c r="R101" t="str">
        <f t="shared" si="4"/>
        <v>HIGH</v>
      </c>
      <c r="S101" t="str">
        <f t="shared" si="5"/>
        <v>Medium</v>
      </c>
    </row>
    <row r="102" spans="1:19" x14ac:dyDescent="0.25">
      <c r="A102" t="s">
        <v>17</v>
      </c>
      <c r="B102" s="2">
        <v>46211</v>
      </c>
      <c r="C102" t="s">
        <v>18</v>
      </c>
      <c r="D102" t="s">
        <v>19</v>
      </c>
      <c r="E102" t="s">
        <v>272</v>
      </c>
      <c r="F102" t="s">
        <v>21</v>
      </c>
      <c r="G102" t="s">
        <v>22</v>
      </c>
      <c r="H102">
        <v>3</v>
      </c>
      <c r="I102">
        <v>8100</v>
      </c>
      <c r="J102">
        <v>0.05</v>
      </c>
      <c r="K102">
        <v>156570</v>
      </c>
      <c r="L102">
        <v>7828.5</v>
      </c>
      <c r="M102">
        <v>2960</v>
      </c>
      <c r="N102" t="s">
        <v>23</v>
      </c>
      <c r="O102" t="s">
        <v>24</v>
      </c>
      <c r="P102" t="s">
        <v>25</v>
      </c>
      <c r="Q102" t="s">
        <v>26</v>
      </c>
      <c r="R102" t="str">
        <f t="shared" si="4"/>
        <v>HIGH</v>
      </c>
      <c r="S102" t="str">
        <f t="shared" si="5"/>
        <v>Low</v>
      </c>
    </row>
    <row r="104" spans="1:19" x14ac:dyDescent="0.25">
      <c r="G104">
        <f>COUNTIFS(Sales_Data!E2:E102,"Delhi",Sales_Data!G2:G102,"Electronics")</f>
        <v>8</v>
      </c>
      <c r="H104">
        <f>SUM([1]Sales_Data!H2:H101)</f>
        <v>276</v>
      </c>
      <c r="K104">
        <f>SUM([1]Sales_Data!K2:K101)</f>
        <v>2955590</v>
      </c>
      <c r="M104">
        <f>AVERAGE([2]Sales_Data!M3:M102)</f>
        <v>26418.217171717173</v>
      </c>
      <c r="N104">
        <f>COUNTIF(N2:N102,"WEBSITE")</f>
        <v>34</v>
      </c>
      <c r="P104">
        <f>COUNTIFS(Sales_Data!P2:P102,"Delivered")</f>
        <v>87</v>
      </c>
    </row>
    <row r="105" spans="1:19" x14ac:dyDescent="0.25">
      <c r="M105">
        <f>MAX(Sales_Data!M3:M103)</f>
        <v>299650</v>
      </c>
    </row>
    <row r="106" spans="1:19" x14ac:dyDescent="0.25">
      <c r="G106">
        <f>COUNTIFS(Sales_Data!G2:G101,"ELECTRONICS",Sales_Data!D2:D101,"Delhi")</f>
        <v>5</v>
      </c>
      <c r="P106">
        <f>COUNTIFS(Sales_Data!P2:P102,"Delivered",Sales_Data!N2:N102,"Website")</f>
        <v>31</v>
      </c>
    </row>
    <row r="107" spans="1:19" x14ac:dyDescent="0.25">
      <c r="M107" s="4">
        <f>(MIN(Sales_Data!M2:M102))</f>
        <v>180</v>
      </c>
      <c r="P107">
        <f>(COUNTIFS(Sales_Data!P2:P102,"Shipped",Sales_Data!N2:N102,"MOBILE App"))</f>
        <v>2</v>
      </c>
    </row>
    <row r="110" spans="1:19" x14ac:dyDescent="0.25">
      <c r="M110" t="str">
        <f>C2&amp;"_"&amp;D2</f>
        <v>Customer_Name_City</v>
      </c>
    </row>
    <row r="111" spans="1:19" x14ac:dyDescent="0.25">
      <c r="M111" t="str">
        <f>C3&amp;":"&amp;D3</f>
        <v>Nisha Yadav:Jaipur</v>
      </c>
    </row>
  </sheetData>
  <phoneticPr fontId="4" type="noConversion"/>
  <conditionalFormatting sqref="I2:I101">
    <cfRule type="colorScale" priority="1">
      <colorScale>
        <cfvo type="min"/>
        <cfvo type="max"/>
        <color rgb="FFFF7128"/>
        <color rgb="FFFFC000"/>
      </colorScale>
    </cfRule>
    <cfRule type="colorScale" priority="2">
      <colorScale>
        <cfvo type="min"/>
        <cfvo type="max"/>
        <color rgb="FFFF7128"/>
        <color rgb="FF92D050"/>
      </colorScale>
    </cfRule>
  </conditionalFormatting>
  <conditionalFormatting sqref="M1:M102">
    <cfRule type="colorScale" priority="5">
      <colorScale>
        <cfvo type="min"/>
        <cfvo type="max"/>
        <color rgb="FFFF0000"/>
        <color rgb="FF92D050"/>
      </colorScale>
    </cfRule>
  </conditionalFormatting>
  <conditionalFormatting sqref="M2:M102">
    <cfRule type="containsText" dxfId="0" priority="3" operator="containsText" text="Column13">
      <formula>NOT(ISERROR(SEARCH("Column13",M2)))</formula>
    </cfRule>
    <cfRule type="colorScale" priority="4">
      <colorScale>
        <cfvo type="min"/>
        <cfvo type="max"/>
        <color rgb="FFFF7128"/>
        <color rgb="FFFFEF9C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Sheet5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Princy Yadav</cp:lastModifiedBy>
  <dcterms:created xsi:type="dcterms:W3CDTF">2026-09-15T04:09:08Z</dcterms:created>
  <dcterms:modified xsi:type="dcterms:W3CDTF">2026-09-15T11:06:50Z</dcterms:modified>
</cp:coreProperties>
</file>